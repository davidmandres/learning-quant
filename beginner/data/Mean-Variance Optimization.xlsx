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llo There\Downloads\"/>
    </mc:Choice>
  </mc:AlternateContent>
  <xr:revisionPtr revIDLastSave="0" documentId="13_ncr:1_{E24B3EAA-FEEA-453A-B10F-08B5A3462B0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ata and Stats" sheetId="2" r:id="rId1"/>
    <sheet name="MV Optimization" sheetId="1" r:id="rId2"/>
  </sheets>
  <definedNames>
    <definedName name="end_index">'Data and Stats'!$L$5</definedName>
    <definedName name="num_of_periods">'Data and Stats'!$L$3</definedName>
    <definedName name="risk_premium">'Data and Stats'!$L$6</definedName>
    <definedName name="solver_adj" localSheetId="1" hidden="1">'MV Optimization'!$S$18:$S$21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'MV Optimization'!$S$22</definedName>
    <definedName name="solver_lhs2" localSheetId="1" hidden="1">'MV Optimization'!$U$17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'MV Optimization'!$U$19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el2" localSheetId="1" hidden="1">2</definedName>
    <definedName name="solver_rhs1" localSheetId="1" hidden="1">1</definedName>
    <definedName name="solver_rhs2" localSheetId="1" hidden="1">17.65%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  <definedName name="start_index">'Data and Stats'!$L$4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1" l="1"/>
  <c r="O18" i="1"/>
  <c r="U18" i="1"/>
  <c r="B8" i="1"/>
  <c r="U17" i="1" a="1"/>
  <c r="U17" i="1" s="1"/>
  <c r="S22" i="1"/>
  <c r="Y14" i="1"/>
  <c r="X14" i="1"/>
  <c r="W14" i="1"/>
  <c r="Y13" i="1"/>
  <c r="X13" i="1"/>
  <c r="W13" i="1"/>
  <c r="Y12" i="1"/>
  <c r="X12" i="1"/>
  <c r="W12" i="1"/>
  <c r="I10" i="1"/>
  <c r="H10" i="1"/>
  <c r="G10" i="1"/>
  <c r="I9" i="1"/>
  <c r="H9" i="1"/>
  <c r="G9" i="1"/>
  <c r="I8" i="1"/>
  <c r="H8" i="1"/>
  <c r="G8" i="1"/>
  <c r="C18" i="2"/>
  <c r="G18" i="2" s="1"/>
  <c r="D18" i="2"/>
  <c r="H18" i="2" s="1"/>
  <c r="B18" i="2"/>
  <c r="F18" i="2" s="1"/>
  <c r="H14" i="2"/>
  <c r="I14" i="2"/>
  <c r="G14" i="2"/>
  <c r="H13" i="2"/>
  <c r="I13" i="2"/>
  <c r="G12" i="2"/>
  <c r="G13" i="2"/>
  <c r="I12" i="2"/>
  <c r="H12" i="2"/>
  <c r="D14" i="2"/>
  <c r="E14" i="2"/>
  <c r="C14" i="2"/>
  <c r="D13" i="2"/>
  <c r="E13" i="2"/>
  <c r="C13" i="2"/>
  <c r="D12" i="2"/>
  <c r="E12" i="2"/>
  <c r="C12" i="2"/>
  <c r="C8" i="2"/>
  <c r="D8" i="2"/>
  <c r="E8" i="2"/>
  <c r="B8" i="2"/>
  <c r="G4" i="2"/>
  <c r="H4" i="2"/>
  <c r="I4" i="2"/>
  <c r="F4" i="2"/>
  <c r="F23" i="2"/>
  <c r="G23" i="2"/>
  <c r="H23" i="2"/>
  <c r="I23" i="2"/>
  <c r="F24" i="2"/>
  <c r="G24" i="2"/>
  <c r="H24" i="2"/>
  <c r="I24" i="2"/>
  <c r="F25" i="2"/>
  <c r="G25" i="2"/>
  <c r="H25" i="2"/>
  <c r="I25" i="2"/>
  <c r="F26" i="2"/>
  <c r="G26" i="2"/>
  <c r="H26" i="2"/>
  <c r="I26" i="2"/>
  <c r="F27" i="2"/>
  <c r="G27" i="2"/>
  <c r="H27" i="2"/>
  <c r="I27" i="2"/>
  <c r="F28" i="2"/>
  <c r="G28" i="2"/>
  <c r="H28" i="2"/>
  <c r="I28" i="2"/>
  <c r="F29" i="2"/>
  <c r="G29" i="2"/>
  <c r="H29" i="2"/>
  <c r="I29" i="2"/>
  <c r="F30" i="2"/>
  <c r="G30" i="2"/>
  <c r="H30" i="2"/>
  <c r="I30" i="2"/>
  <c r="F31" i="2"/>
  <c r="G31" i="2"/>
  <c r="H31" i="2"/>
  <c r="I31" i="2"/>
  <c r="F32" i="2"/>
  <c r="G32" i="2"/>
  <c r="H32" i="2"/>
  <c r="I32" i="2"/>
  <c r="F33" i="2"/>
  <c r="G33" i="2"/>
  <c r="H33" i="2"/>
  <c r="I33" i="2"/>
  <c r="F34" i="2"/>
  <c r="G34" i="2"/>
  <c r="H34" i="2"/>
  <c r="I34" i="2"/>
  <c r="F35" i="2"/>
  <c r="G35" i="2"/>
  <c r="H35" i="2"/>
  <c r="I35" i="2"/>
  <c r="F36" i="2"/>
  <c r="G36" i="2"/>
  <c r="H36" i="2"/>
  <c r="I36" i="2"/>
  <c r="F37" i="2"/>
  <c r="G37" i="2"/>
  <c r="H37" i="2"/>
  <c r="I37" i="2"/>
  <c r="F38" i="2"/>
  <c r="G38" i="2"/>
  <c r="H38" i="2"/>
  <c r="I38" i="2"/>
  <c r="F39" i="2"/>
  <c r="G39" i="2"/>
  <c r="H39" i="2"/>
  <c r="I39" i="2"/>
  <c r="F40" i="2"/>
  <c r="G40" i="2"/>
  <c r="H40" i="2"/>
  <c r="I40" i="2"/>
  <c r="F41" i="2"/>
  <c r="G41" i="2"/>
  <c r="H41" i="2"/>
  <c r="I41" i="2"/>
  <c r="F42" i="2"/>
  <c r="G42" i="2"/>
  <c r="H42" i="2"/>
  <c r="I42" i="2"/>
  <c r="F43" i="2"/>
  <c r="G43" i="2"/>
  <c r="H43" i="2"/>
  <c r="I43" i="2"/>
  <c r="F44" i="2"/>
  <c r="G44" i="2"/>
  <c r="H44" i="2"/>
  <c r="I44" i="2"/>
  <c r="F45" i="2"/>
  <c r="G45" i="2"/>
  <c r="H45" i="2"/>
  <c r="I45" i="2"/>
  <c r="F46" i="2"/>
  <c r="G46" i="2"/>
  <c r="H46" i="2"/>
  <c r="I46" i="2"/>
  <c r="F47" i="2"/>
  <c r="G47" i="2"/>
  <c r="H47" i="2"/>
  <c r="I47" i="2"/>
  <c r="F48" i="2"/>
  <c r="G48" i="2"/>
  <c r="H48" i="2"/>
  <c r="I48" i="2"/>
  <c r="F49" i="2"/>
  <c r="G49" i="2"/>
  <c r="H49" i="2"/>
  <c r="I49" i="2"/>
  <c r="F50" i="2"/>
  <c r="G50" i="2"/>
  <c r="H50" i="2"/>
  <c r="I50" i="2"/>
  <c r="F51" i="2"/>
  <c r="G51" i="2"/>
  <c r="H51" i="2"/>
  <c r="I51" i="2"/>
  <c r="F52" i="2"/>
  <c r="G52" i="2"/>
  <c r="H52" i="2"/>
  <c r="I52" i="2"/>
  <c r="F53" i="2"/>
  <c r="G53" i="2"/>
  <c r="H53" i="2"/>
  <c r="I53" i="2"/>
  <c r="F54" i="2"/>
  <c r="G54" i="2"/>
  <c r="H54" i="2"/>
  <c r="I54" i="2"/>
  <c r="F55" i="2"/>
  <c r="G55" i="2"/>
  <c r="H55" i="2"/>
  <c r="I55" i="2"/>
  <c r="F56" i="2"/>
  <c r="G56" i="2"/>
  <c r="H56" i="2"/>
  <c r="I56" i="2"/>
  <c r="F57" i="2"/>
  <c r="G57" i="2"/>
  <c r="H57" i="2"/>
  <c r="I57" i="2"/>
  <c r="F58" i="2"/>
  <c r="G58" i="2"/>
  <c r="H58" i="2"/>
  <c r="I58" i="2"/>
  <c r="F59" i="2"/>
  <c r="G59" i="2"/>
  <c r="H59" i="2"/>
  <c r="I59" i="2"/>
  <c r="F60" i="2"/>
  <c r="G60" i="2"/>
  <c r="H60" i="2"/>
  <c r="I60" i="2"/>
  <c r="F61" i="2"/>
  <c r="G61" i="2"/>
  <c r="H61" i="2"/>
  <c r="I61" i="2"/>
  <c r="F62" i="2"/>
  <c r="G62" i="2"/>
  <c r="H62" i="2"/>
  <c r="I62" i="2"/>
  <c r="F63" i="2"/>
  <c r="G63" i="2"/>
  <c r="H63" i="2"/>
  <c r="I63" i="2"/>
  <c r="F64" i="2"/>
  <c r="G64" i="2"/>
  <c r="H64" i="2"/>
  <c r="I64" i="2"/>
  <c r="F65" i="2"/>
  <c r="G65" i="2"/>
  <c r="H65" i="2"/>
  <c r="I65" i="2"/>
  <c r="F66" i="2"/>
  <c r="G66" i="2"/>
  <c r="H66" i="2"/>
  <c r="I66" i="2"/>
  <c r="F67" i="2"/>
  <c r="G67" i="2"/>
  <c r="H67" i="2"/>
  <c r="I67" i="2"/>
  <c r="F68" i="2"/>
  <c r="G68" i="2"/>
  <c r="H68" i="2"/>
  <c r="I68" i="2"/>
  <c r="F69" i="2"/>
  <c r="G69" i="2"/>
  <c r="H69" i="2"/>
  <c r="I69" i="2"/>
  <c r="F70" i="2"/>
  <c r="G70" i="2"/>
  <c r="H70" i="2"/>
  <c r="I70" i="2"/>
  <c r="F71" i="2"/>
  <c r="G71" i="2"/>
  <c r="H71" i="2"/>
  <c r="I71" i="2"/>
  <c r="F72" i="2"/>
  <c r="G72" i="2"/>
  <c r="H72" i="2"/>
  <c r="I72" i="2"/>
  <c r="F73" i="2"/>
  <c r="G73" i="2"/>
  <c r="H73" i="2"/>
  <c r="I73" i="2"/>
  <c r="F74" i="2"/>
  <c r="G74" i="2"/>
  <c r="H74" i="2"/>
  <c r="I74" i="2"/>
  <c r="F75" i="2"/>
  <c r="G75" i="2"/>
  <c r="H75" i="2"/>
  <c r="I75" i="2"/>
  <c r="F76" i="2"/>
  <c r="G76" i="2"/>
  <c r="H76" i="2"/>
  <c r="I76" i="2"/>
  <c r="F77" i="2"/>
  <c r="G77" i="2"/>
  <c r="H77" i="2"/>
  <c r="I77" i="2"/>
  <c r="F78" i="2"/>
  <c r="G78" i="2"/>
  <c r="H78" i="2"/>
  <c r="I78" i="2"/>
  <c r="F79" i="2"/>
  <c r="G79" i="2"/>
  <c r="H79" i="2"/>
  <c r="I79" i="2"/>
  <c r="F80" i="2"/>
  <c r="G80" i="2"/>
  <c r="H80" i="2"/>
  <c r="I80" i="2"/>
  <c r="F81" i="2"/>
  <c r="G81" i="2"/>
  <c r="H81" i="2"/>
  <c r="I81" i="2"/>
  <c r="F82" i="2"/>
  <c r="G82" i="2"/>
  <c r="H82" i="2"/>
  <c r="I82" i="2"/>
  <c r="F83" i="2"/>
  <c r="G83" i="2"/>
  <c r="H83" i="2"/>
  <c r="I83" i="2"/>
  <c r="F84" i="2"/>
  <c r="G84" i="2"/>
  <c r="H84" i="2"/>
  <c r="I84" i="2"/>
  <c r="F85" i="2"/>
  <c r="G85" i="2"/>
  <c r="H85" i="2"/>
  <c r="I85" i="2"/>
  <c r="F86" i="2"/>
  <c r="G86" i="2"/>
  <c r="H86" i="2"/>
  <c r="I86" i="2"/>
  <c r="F87" i="2"/>
  <c r="G87" i="2"/>
  <c r="H87" i="2"/>
  <c r="I87" i="2"/>
  <c r="F88" i="2"/>
  <c r="G88" i="2"/>
  <c r="H88" i="2"/>
  <c r="I88" i="2"/>
  <c r="F89" i="2"/>
  <c r="G89" i="2"/>
  <c r="H89" i="2"/>
  <c r="I89" i="2"/>
  <c r="F90" i="2"/>
  <c r="G90" i="2"/>
  <c r="H90" i="2"/>
  <c r="I90" i="2"/>
  <c r="F91" i="2"/>
  <c r="G91" i="2"/>
  <c r="H91" i="2"/>
  <c r="I91" i="2"/>
  <c r="F92" i="2"/>
  <c r="G92" i="2"/>
  <c r="H92" i="2"/>
  <c r="I92" i="2"/>
  <c r="F93" i="2"/>
  <c r="G93" i="2"/>
  <c r="H93" i="2"/>
  <c r="I93" i="2"/>
  <c r="F94" i="2"/>
  <c r="G94" i="2"/>
  <c r="H94" i="2"/>
  <c r="I94" i="2"/>
  <c r="F95" i="2"/>
  <c r="G95" i="2"/>
  <c r="H95" i="2"/>
  <c r="I95" i="2"/>
  <c r="F96" i="2"/>
  <c r="G96" i="2"/>
  <c r="H96" i="2"/>
  <c r="I96" i="2"/>
  <c r="F97" i="2"/>
  <c r="G97" i="2"/>
  <c r="H97" i="2"/>
  <c r="I97" i="2"/>
  <c r="F98" i="2"/>
  <c r="G98" i="2"/>
  <c r="H98" i="2"/>
  <c r="I98" i="2"/>
  <c r="F99" i="2"/>
  <c r="G99" i="2"/>
  <c r="H99" i="2"/>
  <c r="I99" i="2"/>
  <c r="F100" i="2"/>
  <c r="G100" i="2"/>
  <c r="H100" i="2"/>
  <c r="I100" i="2"/>
  <c r="F101" i="2"/>
  <c r="G101" i="2"/>
  <c r="H101" i="2"/>
  <c r="I101" i="2"/>
  <c r="F102" i="2"/>
  <c r="G102" i="2"/>
  <c r="H102" i="2"/>
  <c r="I102" i="2"/>
  <c r="F103" i="2"/>
  <c r="G103" i="2"/>
  <c r="H103" i="2"/>
  <c r="I103" i="2"/>
  <c r="F104" i="2"/>
  <c r="G104" i="2"/>
  <c r="H104" i="2"/>
  <c r="I104" i="2"/>
  <c r="F105" i="2"/>
  <c r="G105" i="2"/>
  <c r="H105" i="2"/>
  <c r="I105" i="2"/>
  <c r="F106" i="2"/>
  <c r="G106" i="2"/>
  <c r="H106" i="2"/>
  <c r="I106" i="2"/>
  <c r="F107" i="2"/>
  <c r="G107" i="2"/>
  <c r="H107" i="2"/>
  <c r="I107" i="2"/>
  <c r="F108" i="2"/>
  <c r="G108" i="2"/>
  <c r="H108" i="2"/>
  <c r="I108" i="2"/>
  <c r="F109" i="2"/>
  <c r="G109" i="2"/>
  <c r="H109" i="2"/>
  <c r="I109" i="2"/>
  <c r="F110" i="2"/>
  <c r="G110" i="2"/>
  <c r="H110" i="2"/>
  <c r="I110" i="2"/>
  <c r="F111" i="2"/>
  <c r="G111" i="2"/>
  <c r="H111" i="2"/>
  <c r="I111" i="2"/>
  <c r="F112" i="2"/>
  <c r="G112" i="2"/>
  <c r="H112" i="2"/>
  <c r="I112" i="2"/>
  <c r="F113" i="2"/>
  <c r="G113" i="2"/>
  <c r="H113" i="2"/>
  <c r="I113" i="2"/>
  <c r="F114" i="2"/>
  <c r="G114" i="2"/>
  <c r="H114" i="2"/>
  <c r="I114" i="2"/>
  <c r="F115" i="2"/>
  <c r="G115" i="2"/>
  <c r="H115" i="2"/>
  <c r="I115" i="2"/>
  <c r="F116" i="2"/>
  <c r="G116" i="2"/>
  <c r="H116" i="2"/>
  <c r="I116" i="2"/>
  <c r="F117" i="2"/>
  <c r="G117" i="2"/>
  <c r="H117" i="2"/>
  <c r="I117" i="2"/>
  <c r="F118" i="2"/>
  <c r="G118" i="2"/>
  <c r="H118" i="2"/>
  <c r="I118" i="2"/>
  <c r="F119" i="2"/>
  <c r="G119" i="2"/>
  <c r="H119" i="2"/>
  <c r="I119" i="2"/>
  <c r="F120" i="2"/>
  <c r="G120" i="2"/>
  <c r="H120" i="2"/>
  <c r="I120" i="2"/>
  <c r="F121" i="2"/>
  <c r="G121" i="2"/>
  <c r="H121" i="2"/>
  <c r="I121" i="2"/>
  <c r="F122" i="2"/>
  <c r="G122" i="2"/>
  <c r="H122" i="2"/>
  <c r="I122" i="2"/>
  <c r="F123" i="2"/>
  <c r="G123" i="2"/>
  <c r="H123" i="2"/>
  <c r="I123" i="2"/>
  <c r="F124" i="2"/>
  <c r="G124" i="2"/>
  <c r="H124" i="2"/>
  <c r="I124" i="2"/>
  <c r="F125" i="2"/>
  <c r="G125" i="2"/>
  <c r="H125" i="2"/>
  <c r="I125" i="2"/>
  <c r="F126" i="2"/>
  <c r="G126" i="2"/>
  <c r="H126" i="2"/>
  <c r="I126" i="2"/>
  <c r="F127" i="2"/>
  <c r="G127" i="2"/>
  <c r="H127" i="2"/>
  <c r="I127" i="2"/>
  <c r="F128" i="2"/>
  <c r="G128" i="2"/>
  <c r="H128" i="2"/>
  <c r="I128" i="2"/>
  <c r="F129" i="2"/>
  <c r="G129" i="2"/>
  <c r="H129" i="2"/>
  <c r="I129" i="2"/>
  <c r="F130" i="2"/>
  <c r="G130" i="2"/>
  <c r="H130" i="2"/>
  <c r="I130" i="2"/>
  <c r="F131" i="2"/>
  <c r="G131" i="2"/>
  <c r="H131" i="2"/>
  <c r="I131" i="2"/>
  <c r="F132" i="2"/>
  <c r="G132" i="2"/>
  <c r="H132" i="2"/>
  <c r="I132" i="2"/>
  <c r="F133" i="2"/>
  <c r="G133" i="2"/>
  <c r="H133" i="2"/>
  <c r="I133" i="2"/>
  <c r="F134" i="2"/>
  <c r="G134" i="2"/>
  <c r="H134" i="2"/>
  <c r="I134" i="2"/>
  <c r="F135" i="2"/>
  <c r="G135" i="2"/>
  <c r="H135" i="2"/>
  <c r="I135" i="2"/>
  <c r="F136" i="2"/>
  <c r="G136" i="2"/>
  <c r="H136" i="2"/>
  <c r="I136" i="2"/>
  <c r="F137" i="2"/>
  <c r="G137" i="2"/>
  <c r="H137" i="2"/>
  <c r="I137" i="2"/>
  <c r="F138" i="2"/>
  <c r="G138" i="2"/>
  <c r="H138" i="2"/>
  <c r="I138" i="2"/>
  <c r="F139" i="2"/>
  <c r="G139" i="2"/>
  <c r="H139" i="2"/>
  <c r="I139" i="2"/>
  <c r="F140" i="2"/>
  <c r="G140" i="2"/>
  <c r="H140" i="2"/>
  <c r="I140" i="2"/>
  <c r="F141" i="2"/>
  <c r="G141" i="2"/>
  <c r="H141" i="2"/>
  <c r="I141" i="2"/>
  <c r="F142" i="2"/>
  <c r="G142" i="2"/>
  <c r="H142" i="2"/>
  <c r="I142" i="2"/>
  <c r="F143" i="2"/>
  <c r="G143" i="2"/>
  <c r="H143" i="2"/>
  <c r="I143" i="2"/>
  <c r="F144" i="2"/>
  <c r="G144" i="2"/>
  <c r="H144" i="2"/>
  <c r="I144" i="2"/>
  <c r="F145" i="2"/>
  <c r="G145" i="2"/>
  <c r="H145" i="2"/>
  <c r="I145" i="2"/>
  <c r="F146" i="2"/>
  <c r="G146" i="2"/>
  <c r="H146" i="2"/>
  <c r="I146" i="2"/>
  <c r="F147" i="2"/>
  <c r="G147" i="2"/>
  <c r="H147" i="2"/>
  <c r="I147" i="2"/>
  <c r="F148" i="2"/>
  <c r="G148" i="2"/>
  <c r="H148" i="2"/>
  <c r="I148" i="2"/>
  <c r="F149" i="2"/>
  <c r="G149" i="2"/>
  <c r="H149" i="2"/>
  <c r="I149" i="2"/>
  <c r="F150" i="2"/>
  <c r="G150" i="2"/>
  <c r="H150" i="2"/>
  <c r="I150" i="2"/>
  <c r="F151" i="2"/>
  <c r="G151" i="2"/>
  <c r="H151" i="2"/>
  <c r="I151" i="2"/>
  <c r="F152" i="2"/>
  <c r="G152" i="2"/>
  <c r="H152" i="2"/>
  <c r="I152" i="2"/>
  <c r="F153" i="2"/>
  <c r="G153" i="2"/>
  <c r="H153" i="2"/>
  <c r="I153" i="2"/>
  <c r="F154" i="2"/>
  <c r="G154" i="2"/>
  <c r="H154" i="2"/>
  <c r="I154" i="2"/>
  <c r="F155" i="2"/>
  <c r="G155" i="2"/>
  <c r="H155" i="2"/>
  <c r="I155" i="2"/>
  <c r="F156" i="2"/>
  <c r="G156" i="2"/>
  <c r="H156" i="2"/>
  <c r="I156" i="2"/>
  <c r="F157" i="2"/>
  <c r="G157" i="2"/>
  <c r="H157" i="2"/>
  <c r="I157" i="2"/>
  <c r="F158" i="2"/>
  <c r="G158" i="2"/>
  <c r="H158" i="2"/>
  <c r="I158" i="2"/>
  <c r="F159" i="2"/>
  <c r="G159" i="2"/>
  <c r="H159" i="2"/>
  <c r="I159" i="2"/>
  <c r="F160" i="2"/>
  <c r="G160" i="2"/>
  <c r="H160" i="2"/>
  <c r="I160" i="2"/>
  <c r="F161" i="2"/>
  <c r="G161" i="2"/>
  <c r="H161" i="2"/>
  <c r="I161" i="2"/>
  <c r="F162" i="2"/>
  <c r="G162" i="2"/>
  <c r="H162" i="2"/>
  <c r="I162" i="2"/>
  <c r="F163" i="2"/>
  <c r="G163" i="2"/>
  <c r="H163" i="2"/>
  <c r="I163" i="2"/>
  <c r="F164" i="2"/>
  <c r="G164" i="2"/>
  <c r="H164" i="2"/>
  <c r="I164" i="2"/>
  <c r="F165" i="2"/>
  <c r="G165" i="2"/>
  <c r="H165" i="2"/>
  <c r="I165" i="2"/>
  <c r="F166" i="2"/>
  <c r="G166" i="2"/>
  <c r="H166" i="2"/>
  <c r="I166" i="2"/>
  <c r="F167" i="2"/>
  <c r="G167" i="2"/>
  <c r="H167" i="2"/>
  <c r="I167" i="2"/>
  <c r="F168" i="2"/>
  <c r="G168" i="2"/>
  <c r="H168" i="2"/>
  <c r="I168" i="2"/>
  <c r="F169" i="2"/>
  <c r="G169" i="2"/>
  <c r="H169" i="2"/>
  <c r="I169" i="2"/>
  <c r="F170" i="2"/>
  <c r="G170" i="2"/>
  <c r="H170" i="2"/>
  <c r="I170" i="2"/>
  <c r="F171" i="2"/>
  <c r="G171" i="2"/>
  <c r="H171" i="2"/>
  <c r="I171" i="2"/>
  <c r="F172" i="2"/>
  <c r="G172" i="2"/>
  <c r="H172" i="2"/>
  <c r="I172" i="2"/>
  <c r="F173" i="2"/>
  <c r="G173" i="2"/>
  <c r="H173" i="2"/>
  <c r="I173" i="2"/>
  <c r="F174" i="2"/>
  <c r="G174" i="2"/>
  <c r="H174" i="2"/>
  <c r="I174" i="2"/>
  <c r="F175" i="2"/>
  <c r="G175" i="2"/>
  <c r="H175" i="2"/>
  <c r="I175" i="2"/>
  <c r="F176" i="2"/>
  <c r="G176" i="2"/>
  <c r="H176" i="2"/>
  <c r="I176" i="2"/>
  <c r="F177" i="2"/>
  <c r="G177" i="2"/>
  <c r="H177" i="2"/>
  <c r="I177" i="2"/>
  <c r="F178" i="2"/>
  <c r="G178" i="2"/>
  <c r="H178" i="2"/>
  <c r="I178" i="2"/>
  <c r="F179" i="2"/>
  <c r="G179" i="2"/>
  <c r="H179" i="2"/>
  <c r="I179" i="2"/>
  <c r="F180" i="2"/>
  <c r="G180" i="2"/>
  <c r="H180" i="2"/>
  <c r="I180" i="2"/>
  <c r="F181" i="2"/>
  <c r="G181" i="2"/>
  <c r="H181" i="2"/>
  <c r="I181" i="2"/>
  <c r="F182" i="2"/>
  <c r="G182" i="2"/>
  <c r="H182" i="2"/>
  <c r="I182" i="2"/>
  <c r="F183" i="2"/>
  <c r="G183" i="2"/>
  <c r="H183" i="2"/>
  <c r="I183" i="2"/>
  <c r="F184" i="2"/>
  <c r="G184" i="2"/>
  <c r="H184" i="2"/>
  <c r="I184" i="2"/>
  <c r="F185" i="2"/>
  <c r="G185" i="2"/>
  <c r="H185" i="2"/>
  <c r="I185" i="2"/>
  <c r="F186" i="2"/>
  <c r="G186" i="2"/>
  <c r="H186" i="2"/>
  <c r="I186" i="2"/>
  <c r="F187" i="2"/>
  <c r="G187" i="2"/>
  <c r="H187" i="2"/>
  <c r="I187" i="2"/>
  <c r="F188" i="2"/>
  <c r="G188" i="2"/>
  <c r="H188" i="2"/>
  <c r="I188" i="2"/>
  <c r="F189" i="2"/>
  <c r="G189" i="2"/>
  <c r="H189" i="2"/>
  <c r="I189" i="2"/>
  <c r="F190" i="2"/>
  <c r="G190" i="2"/>
  <c r="H190" i="2"/>
  <c r="I190" i="2"/>
  <c r="F191" i="2"/>
  <c r="G191" i="2"/>
  <c r="H191" i="2"/>
  <c r="I191" i="2"/>
  <c r="F192" i="2"/>
  <c r="G192" i="2"/>
  <c r="H192" i="2"/>
  <c r="I192" i="2"/>
  <c r="F193" i="2"/>
  <c r="G193" i="2"/>
  <c r="H193" i="2"/>
  <c r="I193" i="2"/>
  <c r="F194" i="2"/>
  <c r="G194" i="2"/>
  <c r="H194" i="2"/>
  <c r="I194" i="2"/>
  <c r="F195" i="2"/>
  <c r="G195" i="2"/>
  <c r="H195" i="2"/>
  <c r="I195" i="2"/>
  <c r="F196" i="2"/>
  <c r="G196" i="2"/>
  <c r="H196" i="2"/>
  <c r="I196" i="2"/>
  <c r="F197" i="2"/>
  <c r="G197" i="2"/>
  <c r="H197" i="2"/>
  <c r="I197" i="2"/>
  <c r="F198" i="2"/>
  <c r="G198" i="2"/>
  <c r="H198" i="2"/>
  <c r="I198" i="2"/>
  <c r="F199" i="2"/>
  <c r="G199" i="2"/>
  <c r="H199" i="2"/>
  <c r="I199" i="2"/>
  <c r="F200" i="2"/>
  <c r="G200" i="2"/>
  <c r="H200" i="2"/>
  <c r="I200" i="2"/>
  <c r="F201" i="2"/>
  <c r="G201" i="2"/>
  <c r="H201" i="2"/>
  <c r="I201" i="2"/>
  <c r="F202" i="2"/>
  <c r="G202" i="2"/>
  <c r="H202" i="2"/>
  <c r="I202" i="2"/>
  <c r="F203" i="2"/>
  <c r="G203" i="2"/>
  <c r="H203" i="2"/>
  <c r="I203" i="2"/>
  <c r="F204" i="2"/>
  <c r="G204" i="2"/>
  <c r="H204" i="2"/>
  <c r="I204" i="2"/>
  <c r="F205" i="2"/>
  <c r="G205" i="2"/>
  <c r="H205" i="2"/>
  <c r="I205" i="2"/>
  <c r="F206" i="2"/>
  <c r="G206" i="2"/>
  <c r="H206" i="2"/>
  <c r="I206" i="2"/>
  <c r="F207" i="2"/>
  <c r="G207" i="2"/>
  <c r="H207" i="2"/>
  <c r="I207" i="2"/>
  <c r="F208" i="2"/>
  <c r="G208" i="2"/>
  <c r="H208" i="2"/>
  <c r="I208" i="2"/>
  <c r="F209" i="2"/>
  <c r="G209" i="2"/>
  <c r="H209" i="2"/>
  <c r="I209" i="2"/>
  <c r="F210" i="2"/>
  <c r="G210" i="2"/>
  <c r="H210" i="2"/>
  <c r="I210" i="2"/>
  <c r="F211" i="2"/>
  <c r="G211" i="2"/>
  <c r="H211" i="2"/>
  <c r="I211" i="2"/>
  <c r="F212" i="2"/>
  <c r="G212" i="2"/>
  <c r="H212" i="2"/>
  <c r="I212" i="2"/>
  <c r="F213" i="2"/>
  <c r="G213" i="2"/>
  <c r="H213" i="2"/>
  <c r="I213" i="2"/>
  <c r="F214" i="2"/>
  <c r="G214" i="2"/>
  <c r="H214" i="2"/>
  <c r="I214" i="2"/>
  <c r="F215" i="2"/>
  <c r="G215" i="2"/>
  <c r="H215" i="2"/>
  <c r="I215" i="2"/>
  <c r="F216" i="2"/>
  <c r="G216" i="2"/>
  <c r="H216" i="2"/>
  <c r="I216" i="2"/>
  <c r="F217" i="2"/>
  <c r="G217" i="2"/>
  <c r="H217" i="2"/>
  <c r="I217" i="2"/>
  <c r="F218" i="2"/>
  <c r="G218" i="2"/>
  <c r="H218" i="2"/>
  <c r="I218" i="2"/>
  <c r="F219" i="2"/>
  <c r="G219" i="2"/>
  <c r="H219" i="2"/>
  <c r="I219" i="2"/>
  <c r="F220" i="2"/>
  <c r="G220" i="2"/>
  <c r="H220" i="2"/>
  <c r="I220" i="2"/>
  <c r="F221" i="2"/>
  <c r="G221" i="2"/>
  <c r="H221" i="2"/>
  <c r="I221" i="2"/>
  <c r="F222" i="2"/>
  <c r="G222" i="2"/>
  <c r="H222" i="2"/>
  <c r="I222" i="2"/>
  <c r="F223" i="2"/>
  <c r="G223" i="2"/>
  <c r="H223" i="2"/>
  <c r="I223" i="2"/>
  <c r="F224" i="2"/>
  <c r="G224" i="2"/>
  <c r="H224" i="2"/>
  <c r="I224" i="2"/>
  <c r="F225" i="2"/>
  <c r="G225" i="2"/>
  <c r="H225" i="2"/>
  <c r="I225" i="2"/>
  <c r="F226" i="2"/>
  <c r="G226" i="2"/>
  <c r="H226" i="2"/>
  <c r="I226" i="2"/>
  <c r="F227" i="2"/>
  <c r="G227" i="2"/>
  <c r="H227" i="2"/>
  <c r="I227" i="2"/>
  <c r="F228" i="2"/>
  <c r="G228" i="2"/>
  <c r="H228" i="2"/>
  <c r="I228" i="2"/>
  <c r="F229" i="2"/>
  <c r="G229" i="2"/>
  <c r="H229" i="2"/>
  <c r="I229" i="2"/>
  <c r="F230" i="2"/>
  <c r="G230" i="2"/>
  <c r="H230" i="2"/>
  <c r="I230" i="2"/>
  <c r="F231" i="2"/>
  <c r="G231" i="2"/>
  <c r="H231" i="2"/>
  <c r="I231" i="2"/>
  <c r="F232" i="2"/>
  <c r="G232" i="2"/>
  <c r="H232" i="2"/>
  <c r="I232" i="2"/>
  <c r="F233" i="2"/>
  <c r="G233" i="2"/>
  <c r="H233" i="2"/>
  <c r="I233" i="2"/>
  <c r="F234" i="2"/>
  <c r="G234" i="2"/>
  <c r="H234" i="2"/>
  <c r="I234" i="2"/>
  <c r="F235" i="2"/>
  <c r="G235" i="2"/>
  <c r="H235" i="2"/>
  <c r="I235" i="2"/>
  <c r="F236" i="2"/>
  <c r="G236" i="2"/>
  <c r="H236" i="2"/>
  <c r="I236" i="2"/>
  <c r="F237" i="2"/>
  <c r="G237" i="2"/>
  <c r="H237" i="2"/>
  <c r="I237" i="2"/>
  <c r="F238" i="2"/>
  <c r="G238" i="2"/>
  <c r="H238" i="2"/>
  <c r="I238" i="2"/>
  <c r="F239" i="2"/>
  <c r="G239" i="2"/>
  <c r="H239" i="2"/>
  <c r="I239" i="2"/>
  <c r="F240" i="2"/>
  <c r="G240" i="2"/>
  <c r="H240" i="2"/>
  <c r="I240" i="2"/>
  <c r="F241" i="2"/>
  <c r="G241" i="2"/>
  <c r="H241" i="2"/>
  <c r="I241" i="2"/>
  <c r="F242" i="2"/>
  <c r="G242" i="2"/>
  <c r="H242" i="2"/>
  <c r="I242" i="2"/>
  <c r="F243" i="2"/>
  <c r="G243" i="2"/>
  <c r="H243" i="2"/>
  <c r="I243" i="2"/>
  <c r="F244" i="2"/>
  <c r="G244" i="2"/>
  <c r="H244" i="2"/>
  <c r="I244" i="2"/>
  <c r="F245" i="2"/>
  <c r="G245" i="2"/>
  <c r="H245" i="2"/>
  <c r="I245" i="2"/>
  <c r="F246" i="2"/>
  <c r="G246" i="2"/>
  <c r="H246" i="2"/>
  <c r="I246" i="2"/>
  <c r="F247" i="2"/>
  <c r="G247" i="2"/>
  <c r="H247" i="2"/>
  <c r="I247" i="2"/>
  <c r="F248" i="2"/>
  <c r="G248" i="2"/>
  <c r="H248" i="2"/>
  <c r="I248" i="2"/>
  <c r="F249" i="2"/>
  <c r="G249" i="2"/>
  <c r="H249" i="2"/>
  <c r="I249" i="2"/>
  <c r="F250" i="2"/>
  <c r="G250" i="2"/>
  <c r="H250" i="2"/>
  <c r="I250" i="2"/>
  <c r="F251" i="2"/>
  <c r="G251" i="2"/>
  <c r="H251" i="2"/>
  <c r="I251" i="2"/>
  <c r="F252" i="2"/>
  <c r="G252" i="2"/>
  <c r="H252" i="2"/>
  <c r="I252" i="2"/>
  <c r="F253" i="2"/>
  <c r="G253" i="2"/>
  <c r="H253" i="2"/>
  <c r="I253" i="2"/>
  <c r="F254" i="2"/>
  <c r="G254" i="2"/>
  <c r="H254" i="2"/>
  <c r="I254" i="2"/>
  <c r="F255" i="2"/>
  <c r="G255" i="2"/>
  <c r="H255" i="2"/>
  <c r="I255" i="2"/>
  <c r="F256" i="2"/>
  <c r="G256" i="2"/>
  <c r="H256" i="2"/>
  <c r="I256" i="2"/>
  <c r="F257" i="2"/>
  <c r="G257" i="2"/>
  <c r="H257" i="2"/>
  <c r="I257" i="2"/>
  <c r="F258" i="2"/>
  <c r="G258" i="2"/>
  <c r="H258" i="2"/>
  <c r="I258" i="2"/>
  <c r="F259" i="2"/>
  <c r="G259" i="2"/>
  <c r="H259" i="2"/>
  <c r="I259" i="2"/>
  <c r="F260" i="2"/>
  <c r="G260" i="2"/>
  <c r="H260" i="2"/>
  <c r="I260" i="2"/>
  <c r="F261" i="2"/>
  <c r="G261" i="2"/>
  <c r="H261" i="2"/>
  <c r="I261" i="2"/>
  <c r="F262" i="2"/>
  <c r="G262" i="2"/>
  <c r="H262" i="2"/>
  <c r="I262" i="2"/>
  <c r="F263" i="2"/>
  <c r="G263" i="2"/>
  <c r="H263" i="2"/>
  <c r="I263" i="2"/>
  <c r="F264" i="2"/>
  <c r="G264" i="2"/>
  <c r="H264" i="2"/>
  <c r="I264" i="2"/>
  <c r="F265" i="2"/>
  <c r="G265" i="2"/>
  <c r="H265" i="2"/>
  <c r="I265" i="2"/>
  <c r="F266" i="2"/>
  <c r="G266" i="2"/>
  <c r="H266" i="2"/>
  <c r="I266" i="2"/>
  <c r="F267" i="2"/>
  <c r="G267" i="2"/>
  <c r="H267" i="2"/>
  <c r="I267" i="2"/>
  <c r="F268" i="2"/>
  <c r="G268" i="2"/>
  <c r="H268" i="2"/>
  <c r="I268" i="2"/>
  <c r="F269" i="2"/>
  <c r="G269" i="2"/>
  <c r="H269" i="2"/>
  <c r="I269" i="2"/>
  <c r="F270" i="2"/>
  <c r="G270" i="2"/>
  <c r="H270" i="2"/>
  <c r="I270" i="2"/>
  <c r="G22" i="2"/>
  <c r="H22" i="2"/>
  <c r="I22" i="2"/>
  <c r="F22" i="2"/>
  <c r="U19" i="1" l="1"/>
  <c r="F8" i="2"/>
  <c r="I8" i="2"/>
  <c r="H8" i="2"/>
  <c r="G8" i="2"/>
  <c r="I18" i="2" l="1"/>
  <c r="D25" i="1" l="1"/>
  <c r="D18" i="1" l="1"/>
  <c r="F4" i="1" l="1"/>
  <c r="H4" i="1"/>
  <c r="D8" i="1" s="1"/>
  <c r="G4" i="1"/>
  <c r="C8" i="1" s="1"/>
  <c r="D28" i="1" l="1" a="1"/>
  <c r="D28" i="1" s="1"/>
  <c r="J26" i="1" s="1"/>
  <c r="F15" i="1" a="1"/>
  <c r="F15" i="1" s="1"/>
  <c r="F14" i="1" l="1" a="1"/>
  <c r="F14" i="1" s="1"/>
  <c r="D27" i="1" a="1"/>
  <c r="D27" i="1" s="1"/>
  <c r="D29" i="1" s="1"/>
  <c r="J27" i="1"/>
  <c r="F16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<sst xmlns="http://schemas.openxmlformats.org/spreadsheetml/2006/main" count="134" uniqueCount="45">
  <si>
    <t>Portfolio expected return</t>
  </si>
  <si>
    <t>Portfolio standard deviation</t>
  </si>
  <si>
    <t>Date</t>
  </si>
  <si>
    <t>Adjusted Close</t>
  </si>
  <si>
    <t>MSFT</t>
  </si>
  <si>
    <t>GOOG</t>
  </si>
  <si>
    <t>AAPL</t>
  </si>
  <si>
    <t>Daily Return</t>
  </si>
  <si>
    <t>S&amp;P 500</t>
  </si>
  <si>
    <t>Beta</t>
  </si>
  <si>
    <t>Annualized Mean Daily Return</t>
  </si>
  <si>
    <t>Annualized Standard Deviation</t>
  </si>
  <si>
    <t>Daily Standard Deviation</t>
  </si>
  <si>
    <t>Correlation Matrix</t>
  </si>
  <si>
    <t>Annualized Covariance Matrix</t>
  </si>
  <si>
    <t>CAPM Expected Returns</t>
  </si>
  <si>
    <t>Weights</t>
  </si>
  <si>
    <t>View Based Expected Return</t>
  </si>
  <si>
    <t>CAPM Based Expected Return</t>
  </si>
  <si>
    <r>
      <t>W</t>
    </r>
    <r>
      <rPr>
        <vertAlign val="subscript"/>
        <sz val="11"/>
        <color theme="1"/>
        <rFont val="Calibri"/>
        <family val="2"/>
        <scheme val="minor"/>
      </rPr>
      <t>AAPL</t>
    </r>
  </si>
  <si>
    <r>
      <t>W</t>
    </r>
    <r>
      <rPr>
        <vertAlign val="subscript"/>
        <sz val="11"/>
        <color theme="1"/>
        <rFont val="Calibri"/>
        <family val="2"/>
        <scheme val="minor"/>
      </rPr>
      <t>GOOG</t>
    </r>
  </si>
  <si>
    <r>
      <t>W</t>
    </r>
    <r>
      <rPr>
        <vertAlign val="subscript"/>
        <sz val="11"/>
        <color theme="1"/>
        <rFont val="Calibri"/>
        <family val="2"/>
        <scheme val="minor"/>
      </rPr>
      <t>MSFT</t>
    </r>
  </si>
  <si>
    <t>Black-Litterman Expected Return</t>
  </si>
  <si>
    <t>Portfolio Sharpe ratio</t>
  </si>
  <si>
    <t>risk free rate</t>
  </si>
  <si>
    <t>Sum</t>
  </si>
  <si>
    <t>Starting values</t>
  </si>
  <si>
    <t>Tangency Portfolio Weights</t>
  </si>
  <si>
    <r>
      <t>W</t>
    </r>
    <r>
      <rPr>
        <vertAlign val="subscript"/>
        <sz val="11"/>
        <color theme="1"/>
        <rFont val="Calibri"/>
        <family val="2"/>
        <scheme val="minor"/>
      </rPr>
      <t>f</t>
    </r>
  </si>
  <si>
    <t>Weights to optimize</t>
  </si>
  <si>
    <t>Answer A: optimal weights</t>
  </si>
  <si>
    <t>Answer C:</t>
  </si>
  <si>
    <t>Answer B: portfolio properties</t>
  </si>
  <si>
    <t>Answer D</t>
  </si>
  <si>
    <t>Tangency standard deviation</t>
  </si>
  <si>
    <t>expected dollar payout by:</t>
  </si>
  <si>
    <t>Relative to the equal weight portfolio, optimal portfolio increases</t>
  </si>
  <si>
    <t>expected return by:</t>
  </si>
  <si>
    <t>Tangency Portfolio Properties</t>
  </si>
  <si>
    <t>Answer E</t>
  </si>
  <si>
    <r>
      <t>w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= </t>
    </r>
  </si>
  <si>
    <r>
      <t>w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= </t>
    </r>
  </si>
  <si>
    <t>Answer F: Weight in tangency and risk free asset</t>
  </si>
  <si>
    <t>Answer G: Final weights in each position</t>
  </si>
  <si>
    <t>Risk-free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</si>
</sst>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164" formatCode="0.0%"/>
    <numFmt numFmtId="165" formatCode="0.0000"/>
    <numFmt numFmtId="166" formatCode="0.000"/>
    <numFmt numFmtId="167" formatCode="_-&quot;$&quot;* #,##0_-;\-&quot;$&quot;* #,##0_-;_-&quot;$&quot;* &quot;-&quot;??_-;_-@_-"/>
    <numFmt numFmtId="169" formatCode="0.00000000000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0" fontId="0" fillId="0" borderId="0" xfId="1" applyNumberFormat="1" applyFont="1" applyBorder="1" applyAlignment="1">
      <alignment horizontal="center"/>
    </xf>
    <xf numFmtId="9" fontId="0" fillId="0" borderId="0" xfId="0" applyNumberFormat="1" applyAlignment="1">
      <alignment horizontal="center"/>
    </xf>
    <xf numFmtId="10" fontId="0" fillId="2" borderId="5" xfId="1" applyNumberFormat="1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164" fontId="0" fillId="2" borderId="5" xfId="1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0" fillId="3" borderId="5" xfId="0" applyFill="1" applyBorder="1" applyAlignment="1">
      <alignment horizontal="center"/>
    </xf>
    <xf numFmtId="10" fontId="0" fillId="0" borderId="0" xfId="1" applyNumberFormat="1" applyFont="1" applyFill="1" applyBorder="1" applyAlignment="1">
      <alignment horizontal="center"/>
    </xf>
    <xf numFmtId="0" fontId="0" fillId="3" borderId="18" xfId="0" applyFill="1" applyBorder="1"/>
    <xf numFmtId="0" fontId="0" fillId="3" borderId="19" xfId="0" applyFill="1" applyBorder="1"/>
    <xf numFmtId="0" fontId="0" fillId="3" borderId="0" xfId="0" applyFill="1"/>
    <xf numFmtId="0" fontId="0" fillId="3" borderId="4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20" xfId="0" applyFill="1" applyBorder="1"/>
    <xf numFmtId="0" fontId="0" fillId="3" borderId="21" xfId="0" applyFill="1" applyBorder="1" applyAlignment="1">
      <alignment horizontal="right"/>
    </xf>
    <xf numFmtId="9" fontId="0" fillId="3" borderId="22" xfId="0" applyNumberFormat="1" applyFill="1" applyBorder="1"/>
    <xf numFmtId="10" fontId="0" fillId="2" borderId="23" xfId="1" applyNumberFormat="1" applyFont="1" applyFill="1" applyBorder="1" applyAlignment="1">
      <alignment horizontal="center"/>
    </xf>
    <xf numFmtId="10" fontId="0" fillId="2" borderId="24" xfId="1" applyNumberFormat="1" applyFont="1" applyFill="1" applyBorder="1" applyAlignment="1">
      <alignment horizontal="center"/>
    </xf>
    <xf numFmtId="165" fontId="0" fillId="2" borderId="25" xfId="0" applyNumberFormat="1" applyFill="1" applyBorder="1" applyAlignment="1">
      <alignment horizontal="center"/>
    </xf>
    <xf numFmtId="0" fontId="0" fillId="3" borderId="17" xfId="0" applyFill="1" applyBorder="1"/>
    <xf numFmtId="0" fontId="0" fillId="3" borderId="3" xfId="0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0" fontId="0" fillId="3" borderId="19" xfId="0" applyFill="1" applyBorder="1" applyAlignment="1">
      <alignment horizontal="right"/>
    </xf>
    <xf numFmtId="9" fontId="0" fillId="3" borderId="7" xfId="0" applyNumberFormat="1" applyFill="1" applyBorder="1"/>
    <xf numFmtId="10" fontId="0" fillId="4" borderId="23" xfId="0" applyNumberFormat="1" applyFill="1" applyBorder="1"/>
    <xf numFmtId="10" fontId="0" fillId="4" borderId="24" xfId="0" applyNumberFormat="1" applyFill="1" applyBorder="1"/>
    <xf numFmtId="10" fontId="0" fillId="4" borderId="25" xfId="0" applyNumberFormat="1" applyFill="1" applyBorder="1"/>
    <xf numFmtId="0" fontId="0" fillId="3" borderId="17" xfId="0" applyFill="1" applyBorder="1" applyAlignment="1">
      <alignment horizontal="left"/>
    </xf>
    <xf numFmtId="10" fontId="0" fillId="3" borderId="23" xfId="0" applyNumberFormat="1" applyFill="1" applyBorder="1"/>
    <xf numFmtId="10" fontId="0" fillId="3" borderId="24" xfId="0" applyNumberFormat="1" applyFill="1" applyBorder="1"/>
    <xf numFmtId="10" fontId="0" fillId="3" borderId="25" xfId="0" applyNumberFormat="1" applyFill="1" applyBorder="1"/>
    <xf numFmtId="10" fontId="0" fillId="3" borderId="5" xfId="1" applyNumberFormat="1" applyFont="1" applyFill="1" applyBorder="1" applyAlignment="1">
      <alignment horizontal="center"/>
    </xf>
    <xf numFmtId="10" fontId="0" fillId="3" borderId="6" xfId="1" applyNumberFormat="1" applyFont="1" applyFill="1" applyBorder="1" applyAlignment="1">
      <alignment horizontal="center"/>
    </xf>
    <xf numFmtId="10" fontId="0" fillId="3" borderId="7" xfId="1" applyNumberFormat="1" applyFont="1" applyFill="1" applyBorder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4" xfId="0" applyNumberFormat="1" applyFill="1" applyBorder="1" applyAlignment="1">
      <alignment horizontal="center"/>
    </xf>
    <xf numFmtId="166" fontId="0" fillId="3" borderId="6" xfId="0" applyNumberFormat="1" applyFill="1" applyBorder="1" applyAlignment="1">
      <alignment horizontal="center"/>
    </xf>
    <xf numFmtId="166" fontId="0" fillId="3" borderId="7" xfId="0" applyNumberFormat="1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right"/>
    </xf>
    <xf numFmtId="0" fontId="0" fillId="5" borderId="0" xfId="0" applyFill="1" applyAlignment="1">
      <alignment horizontal="left"/>
    </xf>
    <xf numFmtId="0" fontId="0" fillId="5" borderId="17" xfId="0" applyFill="1" applyBorder="1"/>
    <xf numFmtId="0" fontId="0" fillId="5" borderId="19" xfId="0" applyFill="1" applyBorder="1" applyAlignment="1">
      <alignment horizontal="right"/>
    </xf>
    <xf numFmtId="0" fontId="0" fillId="5" borderId="18" xfId="0" applyFill="1" applyBorder="1"/>
    <xf numFmtId="0" fontId="0" fillId="5" borderId="19" xfId="0" applyFill="1" applyBorder="1"/>
    <xf numFmtId="0" fontId="0" fillId="5" borderId="3" xfId="0" applyFill="1" applyBorder="1" applyAlignment="1">
      <alignment horizontal="right"/>
    </xf>
    <xf numFmtId="0" fontId="0" fillId="5" borderId="4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5" xfId="0" applyFill="1" applyBorder="1" applyAlignment="1">
      <alignment horizontal="right"/>
    </xf>
    <xf numFmtId="9" fontId="0" fillId="5" borderId="7" xfId="0" applyNumberFormat="1" applyFill="1" applyBorder="1"/>
    <xf numFmtId="0" fontId="0" fillId="4" borderId="0" xfId="0" applyFill="1" applyAlignment="1">
      <alignment horizontal="center"/>
    </xf>
    <xf numFmtId="0" fontId="0" fillId="4" borderId="0" xfId="0" applyFill="1"/>
    <xf numFmtId="2" fontId="0" fillId="3" borderId="6" xfId="0" applyNumberFormat="1" applyFill="1" applyBorder="1" applyAlignment="1">
      <alignment horizontal="center"/>
    </xf>
    <xf numFmtId="10" fontId="0" fillId="2" borderId="26" xfId="1" applyNumberFormat="1" applyFont="1" applyFill="1" applyBorder="1" applyAlignment="1">
      <alignment horizontal="center"/>
    </xf>
    <xf numFmtId="167" fontId="0" fillId="2" borderId="26" xfId="2" applyNumberFormat="1" applyFont="1" applyFill="1" applyBorder="1"/>
    <xf numFmtId="0" fontId="0" fillId="0" borderId="0" xfId="0" applyAlignment="1">
      <alignment horizontal="right"/>
    </xf>
    <xf numFmtId="10" fontId="0" fillId="2" borderId="23" xfId="1" applyNumberFormat="1" applyFont="1" applyFill="1" applyBorder="1"/>
    <xf numFmtId="10" fontId="0" fillId="2" borderId="24" xfId="1" applyNumberFormat="1" applyFont="1" applyFill="1" applyBorder="1"/>
    <xf numFmtId="10" fontId="0" fillId="2" borderId="25" xfId="1" applyNumberFormat="1" applyFont="1" applyFill="1" applyBorder="1"/>
    <xf numFmtId="10" fontId="3" fillId="2" borderId="23" xfId="1" applyNumberFormat="1" applyFont="1" applyFill="1" applyBorder="1"/>
    <xf numFmtId="10" fontId="3" fillId="2" borderId="25" xfId="0" applyNumberFormat="1" applyFont="1" applyFill="1" applyBorder="1"/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169" fontId="0" fillId="0" borderId="0" xfId="0" applyNumberFormat="1"/>
    <xf numFmtId="10" fontId="0" fillId="6" borderId="23" xfId="0" applyNumberFormat="1" applyFill="1" applyBorder="1"/>
    <xf numFmtId="10" fontId="0" fillId="6" borderId="24" xfId="0" applyNumberFormat="1" applyFill="1" applyBorder="1"/>
    <xf numFmtId="10" fontId="0" fillId="6" borderId="25" xfId="0" applyNumberFormat="1" applyFill="1" applyBorder="1"/>
    <xf numFmtId="0" fontId="0" fillId="3" borderId="0" xfId="0" applyFill="1" applyAlignment="1">
      <alignment horizontal="right"/>
    </xf>
    <xf numFmtId="0" fontId="0" fillId="3" borderId="0" xfId="0" applyFill="1" applyBorder="1" applyAlignment="1">
      <alignment horizontal="center"/>
    </xf>
    <xf numFmtId="10" fontId="0" fillId="2" borderId="25" xfId="1" applyNumberFormat="1" applyFont="1" applyFill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workbookViewId="0">
      <selection activeCell="I14" sqref="I14"/>
    </sheetView>
  </sheetViews>
  <sheetFormatPr defaultColWidth="9.140625" defaultRowHeight="15" x14ac:dyDescent="0.25"/>
  <cols>
    <col min="1" max="1" width="11.7109375" style="1" customWidth="1"/>
    <col min="2" max="4" width="9.140625" style="1"/>
    <col min="5" max="5" width="9.140625" style="3"/>
    <col min="6" max="6" width="9.140625" style="4"/>
    <col min="7" max="16384" width="9.140625" style="1"/>
  </cols>
  <sheetData>
    <row r="1" spans="2:12" ht="15.75" thickBot="1" x14ac:dyDescent="0.3">
      <c r="E1" s="1"/>
      <c r="F1" s="1"/>
    </row>
    <row r="2" spans="2:12" x14ac:dyDescent="0.25">
      <c r="B2" s="78"/>
      <c r="C2" s="78"/>
      <c r="D2" s="78"/>
      <c r="E2" s="78"/>
      <c r="F2" s="79" t="s">
        <v>10</v>
      </c>
      <c r="G2" s="80"/>
      <c r="H2" s="80"/>
      <c r="I2" s="81"/>
    </row>
    <row r="3" spans="2:12" x14ac:dyDescent="0.25">
      <c r="E3" s="1"/>
      <c r="F3" s="9" t="s">
        <v>4</v>
      </c>
      <c r="G3" s="10" t="s">
        <v>5</v>
      </c>
      <c r="H3" s="10" t="s">
        <v>6</v>
      </c>
      <c r="I3" s="11" t="s">
        <v>8</v>
      </c>
      <c r="L3" s="1">
        <v>249</v>
      </c>
    </row>
    <row r="4" spans="2:12" ht="15.75" thickBot="1" x14ac:dyDescent="0.3">
      <c r="B4" s="19"/>
      <c r="C4" s="19"/>
      <c r="D4" s="19"/>
      <c r="E4" s="19"/>
      <c r="F4" s="8">
        <f>(SUM(INDEX(F:F, start_index):INDEX(F:F, end_index))/COUNT(INDEX(F:F, start_index):INDEX(F:F, end_index)))*num_of_periods</f>
        <v>4.6565900646673319E-2</v>
      </c>
      <c r="G4" s="8">
        <f>(SUM(INDEX(G:G, start_index):INDEX(G:G, end_index))/COUNT(INDEX(G:G, start_index):INDEX(G:G, end_index)))*num_of_periods</f>
        <v>8.7038808604219531E-2</v>
      </c>
      <c r="H4" s="8">
        <f>(SUM(INDEX(H:H, start_index):INDEX(H:H, end_index))/COUNT(INDEX(H:H, start_index):INDEX(H:H, end_index)))*num_of_periods</f>
        <v>0.30930438162071616</v>
      </c>
      <c r="I4" s="8">
        <f>(SUM(INDEX(I:I, start_index):INDEX(I:I, end_index))/COUNT(INDEX(I:I, start_index):INDEX(I:I, end_index)))*num_of_periods</f>
        <v>0.11840568514822625</v>
      </c>
      <c r="L4" s="1">
        <v>22</v>
      </c>
    </row>
    <row r="5" spans="2:12" ht="15.75" thickBot="1" x14ac:dyDescent="0.3">
      <c r="B5" s="6"/>
      <c r="C5" s="6"/>
      <c r="D5" s="6"/>
      <c r="E5" s="6"/>
      <c r="F5" s="1"/>
      <c r="L5" s="1">
        <v>270</v>
      </c>
    </row>
    <row r="6" spans="2:12" x14ac:dyDescent="0.25">
      <c r="B6" s="79" t="s">
        <v>12</v>
      </c>
      <c r="C6" s="80"/>
      <c r="D6" s="80"/>
      <c r="E6" s="80"/>
      <c r="F6" s="79" t="s">
        <v>11</v>
      </c>
      <c r="G6" s="80"/>
      <c r="H6" s="80"/>
      <c r="I6" s="81"/>
      <c r="L6" s="1">
        <v>0.06</v>
      </c>
    </row>
    <row r="7" spans="2:12" x14ac:dyDescent="0.25">
      <c r="B7" s="9" t="s">
        <v>4</v>
      </c>
      <c r="C7" s="10" t="s">
        <v>5</v>
      </c>
      <c r="D7" s="10" t="s">
        <v>6</v>
      </c>
      <c r="E7" s="10" t="s">
        <v>8</v>
      </c>
      <c r="F7" s="9" t="s">
        <v>4</v>
      </c>
      <c r="G7" s="10" t="s">
        <v>5</v>
      </c>
      <c r="H7" s="10" t="s">
        <v>6</v>
      </c>
      <c r="I7" s="11" t="s">
        <v>8</v>
      </c>
    </row>
    <row r="8" spans="2:12" ht="15.75" thickBot="1" x14ac:dyDescent="0.3">
      <c r="B8" s="15">
        <f>_xlfn.STDEV.S(INDEX(F:F, start_index):INDEX(F:F, end_index))</f>
        <v>1.2976892766856167E-2</v>
      </c>
      <c r="C8" s="15">
        <f>_xlfn.STDEV.S(INDEX(G:G, start_index):INDEX(G:G, end_index))</f>
        <v>1.4333098096452307E-2</v>
      </c>
      <c r="D8" s="15">
        <f>_xlfn.STDEV.S(INDEX(H:H, start_index):INDEX(H:H, end_index))</f>
        <v>1.8581934467393535E-2</v>
      </c>
      <c r="E8" s="15">
        <f>_xlfn.STDEV.S(INDEX(I:I, start_index):INDEX(I:I, end_index))</f>
        <v>8.0025422527600729E-3</v>
      </c>
      <c r="F8" s="15">
        <f>B8*SQRT(num_of_periods)</f>
        <v>0.20477191390602983</v>
      </c>
      <c r="G8" s="15">
        <f>C8*SQRT(num_of_periods)</f>
        <v>0.22617247303681468</v>
      </c>
      <c r="H8" s="15">
        <f>D8*SQRT(num_of_periods)</f>
        <v>0.29321798009173389</v>
      </c>
      <c r="I8" s="15">
        <f>E8*SQRT(num_of_periods)</f>
        <v>0.12627798677637903</v>
      </c>
    </row>
    <row r="9" spans="2:12" ht="15.75" thickBot="1" x14ac:dyDescent="0.3">
      <c r="B9" s="6"/>
      <c r="C9" s="6"/>
      <c r="D9" s="6"/>
      <c r="E9" s="6"/>
      <c r="F9" s="1"/>
    </row>
    <row r="10" spans="2:12" x14ac:dyDescent="0.25">
      <c r="B10" s="79" t="s">
        <v>13</v>
      </c>
      <c r="C10" s="80"/>
      <c r="D10" s="80"/>
      <c r="E10" s="81"/>
      <c r="F10" s="79" t="s">
        <v>14</v>
      </c>
      <c r="G10" s="80"/>
      <c r="H10" s="80"/>
      <c r="I10" s="81"/>
    </row>
    <row r="11" spans="2:12" x14ac:dyDescent="0.25">
      <c r="B11" s="9"/>
      <c r="C11" s="10" t="s">
        <v>4</v>
      </c>
      <c r="D11" s="10" t="s">
        <v>5</v>
      </c>
      <c r="E11" s="11" t="s">
        <v>6</v>
      </c>
      <c r="F11" s="9"/>
      <c r="G11" s="10" t="s">
        <v>4</v>
      </c>
      <c r="H11" s="10" t="s">
        <v>5</v>
      </c>
      <c r="I11" s="11" t="s">
        <v>6</v>
      </c>
    </row>
    <row r="12" spans="2:12" x14ac:dyDescent="0.25">
      <c r="B12" s="9" t="s">
        <v>4</v>
      </c>
      <c r="C12" s="16">
        <f>CORREL(INDEX($F:$F, start_index):INDEX($F:$F, end_index), INDEX(F:F, start_index):INDEX(F:F, end_index))</f>
        <v>1.0000000000000002</v>
      </c>
      <c r="D12" s="16">
        <f>CORREL(INDEX($F:$F, start_index):INDEX($F:$F, end_index), INDEX(G:G, start_index):INDEX(G:G, end_index))</f>
        <v>0.19164215445108079</v>
      </c>
      <c r="E12" s="16">
        <f>CORREL(INDEX($F:$F, start_index):INDEX($F:$F, end_index), INDEX(H:H, start_index):INDEX(H:H, end_index))</f>
        <v>0.27520541345390631</v>
      </c>
      <c r="F12" s="9" t="s">
        <v>4</v>
      </c>
      <c r="G12" s="17">
        <f>_xlfn.COVARIANCE.S(INDEX($F:$F, start_index):INDEX($F:$F, end_index), INDEX(F:F, start_index):INDEX(F:F, end_index))*num_of_periods</f>
        <v>4.1931536724738476E-2</v>
      </c>
      <c r="H12" s="17">
        <f>_xlfn.COVARIANCE.S(INDEX($F:$F, start_index):INDEX($F:$F, end_index), INDEX(G:G, start_index):INDEX(G:G, end_index))*num_of_periods</f>
        <v>8.8756706973974597E-3</v>
      </c>
      <c r="I12" s="17">
        <f>_xlfn.COVARIANCE.S(INDEX($F:$F, start_index):INDEX($F:$F, end_index), INDEX(H:H, start_index):INDEX(H:H, end_index))*num_of_periods</f>
        <v>1.6524105518500198E-2</v>
      </c>
    </row>
    <row r="13" spans="2:12" x14ac:dyDescent="0.25">
      <c r="B13" s="9" t="s">
        <v>5</v>
      </c>
      <c r="C13" s="16">
        <f>CORREL(INDEX($G:$G, start_index):INDEX($G:$G, end_index), INDEX(F:F, start_index):INDEX(F:F, end_index))</f>
        <v>0.19164215445108079</v>
      </c>
      <c r="D13" s="16">
        <f>CORREL(INDEX($G:$G, start_index):INDEX($G:$G, end_index), INDEX(G:G, start_index):INDEX(G:G, end_index))</f>
        <v>0.99999999999999989</v>
      </c>
      <c r="E13" s="16">
        <f>CORREL(INDEX($G:$G, start_index):INDEX($G:$G, end_index), INDEX(H:H, start_index):INDEX(H:H, end_index))</f>
        <v>0.38307668665454236</v>
      </c>
      <c r="F13" s="9" t="s">
        <v>5</v>
      </c>
      <c r="G13" s="17">
        <f>_xlfn.COVARIANCE.S(INDEX($G:$G, start_index):INDEX($G:$G, end_index), INDEX(F:F, start_index):INDEX(F:F, end_index))*num_of_periods</f>
        <v>8.8756706973974597E-3</v>
      </c>
      <c r="H13" s="17">
        <f>_xlfn.COVARIANCE.S(INDEX($G:$G, start_index):INDEX($G:$G, end_index), INDEX(G:G, start_index):INDEX(G:G, end_index))*num_of_periods</f>
        <v>5.11539875595887E-2</v>
      </c>
      <c r="I13" s="17">
        <f>_xlfn.COVARIANCE.S(INDEX($G:$G, start_index):INDEX($G:$G, end_index), INDEX(H:H, start_index):INDEX(H:H, end_index))*num_of_periods</f>
        <v>2.5404816764603287E-2</v>
      </c>
    </row>
    <row r="14" spans="2:12" ht="15.75" thickBot="1" x14ac:dyDescent="0.3">
      <c r="B14" s="18" t="s">
        <v>6</v>
      </c>
      <c r="C14" s="16">
        <f>CORREL(INDEX($H:$H, start_index):INDEX($H:$H, end_index), INDEX(F:F, start_index):INDEX(F:F, end_index))</f>
        <v>0.27520541345390631</v>
      </c>
      <c r="D14" s="16">
        <f>CORREL(INDEX($H:$H, start_index):INDEX($H:$H, end_index), INDEX(G:G, start_index):INDEX(G:G, end_index))</f>
        <v>0.38307668665454236</v>
      </c>
      <c r="E14" s="16">
        <f>CORREL(INDEX($H:$H, start_index):INDEX($H:$H, end_index), INDEX(H:H, start_index):INDEX(H:H, end_index))</f>
        <v>1</v>
      </c>
      <c r="F14" s="18" t="s">
        <v>6</v>
      </c>
      <c r="G14" s="17">
        <f>_xlfn.COVARIANCE.S(INDEX($H:$H, start_index):INDEX($H:$H, end_index), INDEX(F:F, start_index):INDEX(F:F, end_index))*num_of_periods</f>
        <v>1.6524105518500198E-2</v>
      </c>
      <c r="H14" s="17">
        <f>_xlfn.COVARIANCE.S(INDEX($H:$H, start_index):INDEX($H:$H, end_index), INDEX(G:G, start_index):INDEX(G:G, end_index))*num_of_periods</f>
        <v>2.5404816764603287E-2</v>
      </c>
      <c r="I14" s="17">
        <f>_xlfn.COVARIANCE.S(INDEX($H:$H, start_index):INDEX($H:$H, end_index), INDEX(H:H, start_index):INDEX(H:H, end_index))*num_of_periods</f>
        <v>8.5976783849076338E-2</v>
      </c>
    </row>
    <row r="15" spans="2:12" ht="15.75" thickBot="1" x14ac:dyDescent="0.3">
      <c r="E15" s="1"/>
      <c r="F15" s="1"/>
    </row>
    <row r="16" spans="2:12" x14ac:dyDescent="0.25">
      <c r="B16" s="79" t="s">
        <v>9</v>
      </c>
      <c r="C16" s="80"/>
      <c r="D16" s="80"/>
      <c r="E16" s="80"/>
      <c r="F16" s="79" t="s">
        <v>15</v>
      </c>
      <c r="G16" s="80"/>
      <c r="H16" s="80"/>
      <c r="I16" s="81"/>
    </row>
    <row r="17" spans="1:14" x14ac:dyDescent="0.25">
      <c r="B17" s="9" t="s">
        <v>4</v>
      </c>
      <c r="C17" s="10" t="s">
        <v>5</v>
      </c>
      <c r="D17" s="10" t="s">
        <v>6</v>
      </c>
      <c r="E17" s="10" t="s">
        <v>8</v>
      </c>
      <c r="F17" s="9" t="s">
        <v>4</v>
      </c>
      <c r="G17" s="10" t="s">
        <v>5</v>
      </c>
      <c r="H17" s="10" t="s">
        <v>6</v>
      </c>
      <c r="I17" s="11" t="s">
        <v>8</v>
      </c>
    </row>
    <row r="18" spans="1:14" ht="15.75" thickBot="1" x14ac:dyDescent="0.3">
      <c r="B18" s="17">
        <f>_xlfn.COVARIANCE.S(INDEX($I:$I, start_index):INDEX($I:$I, end_index), INDEX(F:F, start_index):INDEX(F:F, end_index))/_xlfn.VAR.S(INDEX($I:$I, start_index):INDEX($I:$I, end_index))</f>
        <v>1.0883638933845199</v>
      </c>
      <c r="C18" s="17">
        <f>_xlfn.COVARIANCE.S(INDEX($I:$I, start_index):INDEX($I:$I, end_index), INDEX(G:G, start_index):INDEX(G:G, end_index))/_xlfn.VAR.S(INDEX($I:$I, start_index):INDEX($I:$I, end_index))</f>
        <v>0.85168711071829373</v>
      </c>
      <c r="D18" s="17">
        <f>_xlfn.COVARIANCE.S(INDEX($I:$I, start_index):INDEX($I:$I, end_index), INDEX(H:H, start_index):INDEX(H:H, end_index))/_xlfn.VAR.S(INDEX($I:$I, start_index):INDEX($I:$I, end_index))</f>
        <v>1.2690990670312472</v>
      </c>
      <c r="E18" s="66">
        <v>1</v>
      </c>
      <c r="F18" s="8">
        <f>'MV Optimization'!$D$12+B18*risk_premium</f>
        <v>7.5301833603071189E-2</v>
      </c>
      <c r="G18" s="8">
        <f>'MV Optimization'!$D$12+C18*risk_premium</f>
        <v>6.1101226643097625E-2</v>
      </c>
      <c r="H18" s="8">
        <f>'MV Optimization'!$D$12+D18*risk_premium</f>
        <v>8.6145944021874823E-2</v>
      </c>
      <c r="I18" s="46">
        <f>1%+E18*6%</f>
        <v>6.9999999999999993E-2</v>
      </c>
    </row>
    <row r="19" spans="1:14" x14ac:dyDescent="0.25">
      <c r="E19" s="1"/>
      <c r="F19" s="1"/>
    </row>
    <row r="20" spans="1:14" x14ac:dyDescent="0.25">
      <c r="B20" s="75" t="s">
        <v>3</v>
      </c>
      <c r="C20" s="76"/>
      <c r="D20" s="76"/>
      <c r="E20" s="77"/>
      <c r="F20" s="75" t="s">
        <v>7</v>
      </c>
      <c r="G20" s="76"/>
      <c r="H20" s="76"/>
      <c r="I20" s="77"/>
    </row>
    <row r="21" spans="1:14" x14ac:dyDescent="0.25">
      <c r="A21" s="1" t="s">
        <v>2</v>
      </c>
      <c r="B21" s="12" t="s">
        <v>4</v>
      </c>
      <c r="C21" s="13" t="s">
        <v>5</v>
      </c>
      <c r="D21" s="13" t="s">
        <v>6</v>
      </c>
      <c r="E21" s="14" t="s">
        <v>8</v>
      </c>
      <c r="F21" s="12" t="s">
        <v>4</v>
      </c>
      <c r="G21" s="13" t="s">
        <v>5</v>
      </c>
      <c r="H21" s="13" t="s">
        <v>6</v>
      </c>
      <c r="I21" s="14" t="s">
        <v>8</v>
      </c>
    </row>
    <row r="22" spans="1:14" x14ac:dyDescent="0.25">
      <c r="A22" s="2">
        <v>41274</v>
      </c>
      <c r="B22" s="64">
        <v>26.31</v>
      </c>
      <c r="C22" s="64">
        <v>707.38</v>
      </c>
      <c r="D22" s="64">
        <v>525.61</v>
      </c>
      <c r="E22" s="65">
        <v>1426.19</v>
      </c>
      <c r="F22" s="5">
        <f>(B22/B23)-1</f>
        <v>6.1185468451243619E-3</v>
      </c>
      <c r="G22" s="5">
        <f t="shared" ref="G22:I22" si="0">(C22/C23)-1</f>
        <v>1.0528421022556911E-2</v>
      </c>
      <c r="H22" s="5">
        <f t="shared" si="0"/>
        <v>4.4306689714092684E-2</v>
      </c>
      <c r="I22" s="5">
        <f t="shared" si="0"/>
        <v>1.694202206170714E-2</v>
      </c>
    </row>
    <row r="23" spans="1:14" x14ac:dyDescent="0.25">
      <c r="A23" s="2">
        <v>41271</v>
      </c>
      <c r="B23" s="64">
        <v>26.15</v>
      </c>
      <c r="C23" s="64">
        <v>700.01</v>
      </c>
      <c r="D23" s="64">
        <v>503.31</v>
      </c>
      <c r="E23" s="65">
        <v>1402.43</v>
      </c>
      <c r="F23" s="5">
        <f t="shared" ref="F23:F86" si="1">(B23/B24)-1</f>
        <v>-1.5065913370998163E-2</v>
      </c>
      <c r="G23" s="5">
        <f t="shared" ref="G23:G86" si="2">(C23/C24)-1</f>
        <v>-8.8915318070480476E-3</v>
      </c>
      <c r="H23" s="5">
        <f t="shared" ref="H23:H86" si="3">(D23/D24)-1</f>
        <v>-1.0615085215545106E-2</v>
      </c>
      <c r="I23" s="5">
        <f t="shared" ref="I23:I86" si="4">(E23/E24)-1</f>
        <v>-1.1049996474155499E-2</v>
      </c>
    </row>
    <row r="24" spans="1:14" x14ac:dyDescent="0.25">
      <c r="A24" s="2">
        <v>41270</v>
      </c>
      <c r="B24" s="64">
        <v>26.55</v>
      </c>
      <c r="C24" s="64">
        <v>706.29</v>
      </c>
      <c r="D24" s="64">
        <v>508.71</v>
      </c>
      <c r="E24" s="65">
        <v>1418.1</v>
      </c>
      <c r="F24" s="5">
        <f t="shared" si="1"/>
        <v>3.780718336483968E-3</v>
      </c>
      <c r="G24" s="5">
        <f t="shared" si="2"/>
        <v>-3.6395954124169849E-3</v>
      </c>
      <c r="H24" s="5">
        <f t="shared" si="3"/>
        <v>4.0262893007281253E-3</v>
      </c>
      <c r="I24" s="5">
        <f t="shared" si="4"/>
        <v>-1.2184557306156307E-3</v>
      </c>
    </row>
    <row r="25" spans="1:14" x14ac:dyDescent="0.25">
      <c r="A25" s="2">
        <v>41269</v>
      </c>
      <c r="B25" s="64">
        <v>26.45</v>
      </c>
      <c r="C25" s="64">
        <v>708.87</v>
      </c>
      <c r="D25" s="64">
        <v>506.67</v>
      </c>
      <c r="E25" s="65">
        <v>1419.83</v>
      </c>
      <c r="F25" s="5">
        <f t="shared" si="1"/>
        <v>-7.5046904315196894E-3</v>
      </c>
      <c r="G25" s="5">
        <f t="shared" si="2"/>
        <v>-8.8794926004232E-4</v>
      </c>
      <c r="H25" s="5">
        <f t="shared" si="3"/>
        <v>-1.380021800062281E-2</v>
      </c>
      <c r="I25" s="5">
        <f t="shared" si="4"/>
        <v>-4.7874055486241129E-3</v>
      </c>
      <c r="N25" s="7"/>
    </row>
    <row r="26" spans="1:14" x14ac:dyDescent="0.25">
      <c r="A26" s="2">
        <v>41267</v>
      </c>
      <c r="B26" s="64">
        <v>26.65</v>
      </c>
      <c r="C26" s="64">
        <v>709.5</v>
      </c>
      <c r="D26" s="64">
        <v>513.76</v>
      </c>
      <c r="E26" s="65">
        <v>1426.66</v>
      </c>
      <c r="F26" s="5">
        <f t="shared" si="1"/>
        <v>-1.4423076923076983E-2</v>
      </c>
      <c r="G26" s="5">
        <f t="shared" si="2"/>
        <v>-8.5658790156925013E-3</v>
      </c>
      <c r="H26" s="5">
        <f t="shared" si="3"/>
        <v>1.6181545240092632E-3</v>
      </c>
      <c r="I26" s="5">
        <f t="shared" si="4"/>
        <v>-2.4403034646715005E-3</v>
      </c>
      <c r="N26" s="7"/>
    </row>
    <row r="27" spans="1:14" x14ac:dyDescent="0.25">
      <c r="A27" s="2">
        <v>41264</v>
      </c>
      <c r="B27" s="64">
        <v>27.04</v>
      </c>
      <c r="C27" s="64">
        <v>715.63</v>
      </c>
      <c r="D27" s="64">
        <v>512.92999999999995</v>
      </c>
      <c r="E27" s="65">
        <v>1430.15</v>
      </c>
      <c r="F27" s="5">
        <f t="shared" si="1"/>
        <v>-8.0704328686721505E-3</v>
      </c>
      <c r="G27" s="5">
        <f t="shared" si="2"/>
        <v>-9.3166842017831097E-3</v>
      </c>
      <c r="H27" s="5">
        <f t="shared" si="3"/>
        <v>-4.5992625654958097E-3</v>
      </c>
      <c r="I27" s="5">
        <f t="shared" si="4"/>
        <v>-9.378744744370282E-3</v>
      </c>
    </row>
    <row r="28" spans="1:14" x14ac:dyDescent="0.25">
      <c r="A28" s="2">
        <v>41263</v>
      </c>
      <c r="B28" s="64">
        <v>27.26</v>
      </c>
      <c r="C28" s="64">
        <v>722.36</v>
      </c>
      <c r="D28" s="64">
        <v>515.29999999999995</v>
      </c>
      <c r="E28" s="65">
        <v>1443.69</v>
      </c>
      <c r="F28" s="5">
        <f t="shared" si="1"/>
        <v>1.3382899628253009E-2</v>
      </c>
      <c r="G28" s="5">
        <f t="shared" si="2"/>
        <v>3.1245226423741723E-3</v>
      </c>
      <c r="H28" s="5">
        <f t="shared" si="3"/>
        <v>-8.6953176099421325E-3</v>
      </c>
      <c r="I28" s="5">
        <f t="shared" si="4"/>
        <v>5.4881913345081745E-3</v>
      </c>
    </row>
    <row r="29" spans="1:14" x14ac:dyDescent="0.25">
      <c r="A29" s="2">
        <v>41262</v>
      </c>
      <c r="B29" s="64">
        <v>26.9</v>
      </c>
      <c r="C29" s="64">
        <v>720.11</v>
      </c>
      <c r="D29" s="64">
        <v>519.82000000000005</v>
      </c>
      <c r="E29" s="65">
        <v>1435.81</v>
      </c>
      <c r="F29" s="5">
        <f t="shared" si="1"/>
        <v>-8.8430361090642284E-3</v>
      </c>
      <c r="G29" s="5">
        <f t="shared" si="2"/>
        <v>-1.3313547921839364E-3</v>
      </c>
      <c r="H29" s="5">
        <f t="shared" si="3"/>
        <v>-1.4222862777819922E-2</v>
      </c>
      <c r="I29" s="5">
        <f t="shared" si="4"/>
        <v>-7.5892147443651359E-3</v>
      </c>
    </row>
    <row r="30" spans="1:14" x14ac:dyDescent="0.25">
      <c r="A30" s="2">
        <v>41261</v>
      </c>
      <c r="B30" s="64">
        <v>27.14</v>
      </c>
      <c r="C30" s="64">
        <v>721.07</v>
      </c>
      <c r="D30" s="64">
        <v>527.32000000000005</v>
      </c>
      <c r="E30" s="65">
        <v>1446.79</v>
      </c>
      <c r="F30" s="5">
        <f t="shared" si="1"/>
        <v>1.6860247283626784E-2</v>
      </c>
      <c r="G30" s="5">
        <f t="shared" si="2"/>
        <v>4.0234190737820086E-4</v>
      </c>
      <c r="H30" s="5">
        <f t="shared" si="3"/>
        <v>2.9057627383252571E-2</v>
      </c>
      <c r="I30" s="5">
        <f t="shared" si="4"/>
        <v>1.148661875332091E-2</v>
      </c>
    </row>
    <row r="31" spans="1:14" x14ac:dyDescent="0.25">
      <c r="A31" s="2">
        <v>41260</v>
      </c>
      <c r="B31" s="64">
        <v>26.69</v>
      </c>
      <c r="C31" s="64">
        <v>720.78</v>
      </c>
      <c r="D31" s="64">
        <v>512.42999999999995</v>
      </c>
      <c r="E31" s="65">
        <v>1430.36</v>
      </c>
      <c r="F31" s="5">
        <f t="shared" si="1"/>
        <v>1.0984848484848486E-2</v>
      </c>
      <c r="G31" s="5">
        <f t="shared" si="2"/>
        <v>2.6810644481166879E-2</v>
      </c>
      <c r="H31" s="5">
        <f t="shared" si="3"/>
        <v>1.7735849056603747E-2</v>
      </c>
      <c r="I31" s="5">
        <f t="shared" si="4"/>
        <v>1.1870569759051541E-2</v>
      </c>
    </row>
    <row r="32" spans="1:14" x14ac:dyDescent="0.25">
      <c r="A32" s="2">
        <v>41257</v>
      </c>
      <c r="B32" s="64">
        <v>26.4</v>
      </c>
      <c r="C32" s="64">
        <v>701.96</v>
      </c>
      <c r="D32" s="64">
        <v>503.5</v>
      </c>
      <c r="E32" s="65">
        <v>1413.58</v>
      </c>
      <c r="F32" s="5">
        <f t="shared" si="1"/>
        <v>-1.1235955056179803E-2</v>
      </c>
      <c r="G32" s="5">
        <f t="shared" si="2"/>
        <v>-1.0530809733884094E-3</v>
      </c>
      <c r="H32" s="5">
        <f t="shared" si="3"/>
        <v>-3.7579325636516447E-2</v>
      </c>
      <c r="I32" s="5">
        <f t="shared" si="4"/>
        <v>-4.1354045581035725E-3</v>
      </c>
    </row>
    <row r="33" spans="1:9" x14ac:dyDescent="0.25">
      <c r="A33" s="2">
        <v>41256</v>
      </c>
      <c r="B33" s="64">
        <v>26.7</v>
      </c>
      <c r="C33" s="64">
        <v>702.7</v>
      </c>
      <c r="D33" s="64">
        <v>523.16</v>
      </c>
      <c r="E33" s="65">
        <v>1419.45</v>
      </c>
      <c r="F33" s="5">
        <f t="shared" si="1"/>
        <v>-4.8453224002981132E-3</v>
      </c>
      <c r="G33" s="5">
        <f t="shared" si="2"/>
        <v>7.368541774184445E-3</v>
      </c>
      <c r="H33" s="5">
        <f t="shared" si="3"/>
        <v>-1.7263078801540432E-2</v>
      </c>
      <c r="I33" s="5">
        <f t="shared" si="4"/>
        <v>-6.321404569892497E-3</v>
      </c>
    </row>
    <row r="34" spans="1:9" x14ac:dyDescent="0.25">
      <c r="A34" s="2">
        <v>41255</v>
      </c>
      <c r="B34" s="64">
        <v>26.83</v>
      </c>
      <c r="C34" s="64">
        <v>697.56</v>
      </c>
      <c r="D34" s="64">
        <v>532.35</v>
      </c>
      <c r="E34" s="65">
        <v>1428.48</v>
      </c>
      <c r="F34" s="5">
        <f t="shared" si="1"/>
        <v>-2.9728725380899768E-3</v>
      </c>
      <c r="G34" s="5">
        <f t="shared" si="2"/>
        <v>9.7577775226720398E-4</v>
      </c>
      <c r="H34" s="5">
        <f t="shared" si="3"/>
        <v>-4.4136073759608596E-3</v>
      </c>
      <c r="I34" s="5">
        <f t="shared" si="4"/>
        <v>4.4822949350065144E-4</v>
      </c>
    </row>
    <row r="35" spans="1:9" x14ac:dyDescent="0.25">
      <c r="A35" s="2">
        <v>41254</v>
      </c>
      <c r="B35" s="64">
        <v>26.91</v>
      </c>
      <c r="C35" s="64">
        <v>696.88</v>
      </c>
      <c r="D35" s="64">
        <v>534.71</v>
      </c>
      <c r="E35" s="65">
        <v>1427.84</v>
      </c>
      <c r="F35" s="5">
        <f t="shared" si="1"/>
        <v>1.4323407463249005E-2</v>
      </c>
      <c r="G35" s="5">
        <f t="shared" si="2"/>
        <v>1.6719675527413935E-2</v>
      </c>
      <c r="H35" s="5">
        <f t="shared" si="3"/>
        <v>2.182346308930061E-2</v>
      </c>
      <c r="I35" s="5">
        <f t="shared" si="4"/>
        <v>6.5489408198511345E-3</v>
      </c>
    </row>
    <row r="36" spans="1:9" x14ac:dyDescent="0.25">
      <c r="A36" s="2">
        <v>41253</v>
      </c>
      <c r="B36" s="64">
        <v>26.53</v>
      </c>
      <c r="C36" s="64">
        <v>685.42</v>
      </c>
      <c r="D36" s="64">
        <v>523.29</v>
      </c>
      <c r="E36" s="65">
        <v>1418.55</v>
      </c>
      <c r="F36" s="5">
        <f t="shared" si="1"/>
        <v>1.8035303146584969E-2</v>
      </c>
      <c r="G36" s="5">
        <f t="shared" si="2"/>
        <v>1.7684628988174911E-3</v>
      </c>
      <c r="H36" s="5">
        <f t="shared" si="3"/>
        <v>-6.4176809007537861E-3</v>
      </c>
      <c r="I36" s="5">
        <f t="shared" si="4"/>
        <v>3.3848822695636827E-4</v>
      </c>
    </row>
    <row r="37" spans="1:9" x14ac:dyDescent="0.25">
      <c r="A37" s="2">
        <v>41250</v>
      </c>
      <c r="B37" s="64">
        <v>26.06</v>
      </c>
      <c r="C37" s="64">
        <v>684.21</v>
      </c>
      <c r="D37" s="64">
        <v>526.66999999999996</v>
      </c>
      <c r="E37" s="65">
        <v>1418.07</v>
      </c>
      <c r="F37" s="5">
        <f t="shared" si="1"/>
        <v>-1.0254462590201241E-2</v>
      </c>
      <c r="G37" s="5">
        <f t="shared" si="2"/>
        <v>-1.0012588080390072E-2</v>
      </c>
      <c r="H37" s="5">
        <f t="shared" si="3"/>
        <v>-2.5569390738034103E-2</v>
      </c>
      <c r="I37" s="5">
        <f t="shared" si="4"/>
        <v>2.9209160218961472E-3</v>
      </c>
    </row>
    <row r="38" spans="1:9" x14ac:dyDescent="0.25">
      <c r="A38" s="2">
        <v>41249</v>
      </c>
      <c r="B38" s="64">
        <v>26.33</v>
      </c>
      <c r="C38" s="64">
        <v>691.13</v>
      </c>
      <c r="D38" s="64">
        <v>540.49</v>
      </c>
      <c r="E38" s="65">
        <v>1413.94</v>
      </c>
      <c r="F38" s="5">
        <f t="shared" si="1"/>
        <v>2.2839741149600634E-3</v>
      </c>
      <c r="G38" s="5">
        <f t="shared" si="2"/>
        <v>4.8123055450552954E-3</v>
      </c>
      <c r="H38" s="5">
        <f t="shared" si="3"/>
        <v>1.5672272855397962E-2</v>
      </c>
      <c r="I38" s="5">
        <f t="shared" si="4"/>
        <v>3.3066530426886231E-3</v>
      </c>
    </row>
    <row r="39" spans="1:9" x14ac:dyDescent="0.25">
      <c r="A39" s="2">
        <v>41248</v>
      </c>
      <c r="B39" s="64">
        <v>26.27</v>
      </c>
      <c r="C39" s="64">
        <v>687.82</v>
      </c>
      <c r="D39" s="64">
        <v>532.15</v>
      </c>
      <c r="E39" s="65">
        <v>1409.28</v>
      </c>
      <c r="F39" s="5">
        <f t="shared" si="1"/>
        <v>1.1551790527531747E-2</v>
      </c>
      <c r="G39" s="5">
        <f t="shared" si="2"/>
        <v>-4.6452397146288238E-3</v>
      </c>
      <c r="H39" s="5">
        <f t="shared" si="3"/>
        <v>-6.4351648351648416E-2</v>
      </c>
      <c r="I39" s="5">
        <f t="shared" si="4"/>
        <v>1.5848761593404426E-3</v>
      </c>
    </row>
    <row r="40" spans="1:9" x14ac:dyDescent="0.25">
      <c r="A40" s="2">
        <v>41247</v>
      </c>
      <c r="B40" s="64">
        <v>25.97</v>
      </c>
      <c r="C40" s="64">
        <v>691.03</v>
      </c>
      <c r="D40" s="64">
        <v>568.75</v>
      </c>
      <c r="E40" s="65">
        <v>1407.05</v>
      </c>
      <c r="F40" s="5">
        <f t="shared" si="1"/>
        <v>-2.3050326546293354E-3</v>
      </c>
      <c r="G40" s="5">
        <f t="shared" si="2"/>
        <v>-6.0697590794678291E-3</v>
      </c>
      <c r="H40" s="5">
        <f t="shared" si="3"/>
        <v>-1.763506978029572E-2</v>
      </c>
      <c r="I40" s="5">
        <f t="shared" si="4"/>
        <v>-1.7098747037873618E-3</v>
      </c>
    </row>
    <row r="41" spans="1:9" x14ac:dyDescent="0.25">
      <c r="A41" s="2">
        <v>41246</v>
      </c>
      <c r="B41" s="64">
        <v>26.03</v>
      </c>
      <c r="C41" s="64">
        <v>695.25</v>
      </c>
      <c r="D41" s="64">
        <v>578.96</v>
      </c>
      <c r="E41" s="65">
        <v>1409.46</v>
      </c>
      <c r="F41" s="5">
        <f t="shared" si="1"/>
        <v>-7.2463768115941241E-3</v>
      </c>
      <c r="G41" s="5">
        <f t="shared" si="2"/>
        <v>-4.4675458567807746E-3</v>
      </c>
      <c r="H41" s="5">
        <f t="shared" si="3"/>
        <v>1.5569318063870519E-3</v>
      </c>
      <c r="I41" s="5">
        <f t="shared" si="4"/>
        <v>-4.7451595136211999E-3</v>
      </c>
    </row>
    <row r="42" spans="1:9" x14ac:dyDescent="0.25">
      <c r="A42" s="2">
        <v>41243</v>
      </c>
      <c r="B42" s="64">
        <v>26.22</v>
      </c>
      <c r="C42" s="64">
        <v>698.37</v>
      </c>
      <c r="D42" s="64">
        <v>578.05999999999995</v>
      </c>
      <c r="E42" s="65">
        <v>1416.18</v>
      </c>
      <c r="F42" s="5">
        <f t="shared" si="1"/>
        <v>-1.2057272042200418E-2</v>
      </c>
      <c r="G42" s="5">
        <f t="shared" si="2"/>
        <v>9.3656506092008041E-3</v>
      </c>
      <c r="H42" s="5">
        <f t="shared" si="3"/>
        <v>-6.923328007696572E-3</v>
      </c>
      <c r="I42" s="5">
        <f t="shared" si="4"/>
        <v>1.6243511423419399E-4</v>
      </c>
    </row>
    <row r="43" spans="1:9" x14ac:dyDescent="0.25">
      <c r="A43" s="2">
        <v>41242</v>
      </c>
      <c r="B43" s="64">
        <v>26.54</v>
      </c>
      <c r="C43" s="64">
        <v>691.89</v>
      </c>
      <c r="D43" s="64">
        <v>582.09</v>
      </c>
      <c r="E43" s="65">
        <v>1415.95</v>
      </c>
      <c r="F43" s="5">
        <f t="shared" si="1"/>
        <v>-1.5213358070500949E-2</v>
      </c>
      <c r="G43" s="5">
        <f t="shared" si="2"/>
        <v>1.2023344596077123E-2</v>
      </c>
      <c r="H43" s="5">
        <f t="shared" si="3"/>
        <v>1.101172383847171E-2</v>
      </c>
      <c r="I43" s="5">
        <f t="shared" si="4"/>
        <v>4.2697155177917612E-3</v>
      </c>
    </row>
    <row r="44" spans="1:9" x14ac:dyDescent="0.25">
      <c r="A44" s="2">
        <v>41241</v>
      </c>
      <c r="B44" s="64">
        <v>26.95</v>
      </c>
      <c r="C44" s="64">
        <v>683.67</v>
      </c>
      <c r="D44" s="64">
        <v>575.75</v>
      </c>
      <c r="E44" s="65">
        <v>1409.93</v>
      </c>
      <c r="F44" s="5">
        <f t="shared" si="1"/>
        <v>1.0498687664041828E-2</v>
      </c>
      <c r="G44" s="5">
        <f t="shared" si="2"/>
        <v>1.9322807174486645E-2</v>
      </c>
      <c r="H44" s="5">
        <f t="shared" si="3"/>
        <v>-3.1511331959763744E-3</v>
      </c>
      <c r="I44" s="5">
        <f t="shared" si="4"/>
        <v>7.8559480749711419E-3</v>
      </c>
    </row>
    <row r="45" spans="1:9" x14ac:dyDescent="0.25">
      <c r="A45" s="2">
        <v>41240</v>
      </c>
      <c r="B45" s="64">
        <v>26.67</v>
      </c>
      <c r="C45" s="64">
        <v>670.71</v>
      </c>
      <c r="D45" s="64">
        <v>577.57000000000005</v>
      </c>
      <c r="E45" s="65">
        <v>1398.94</v>
      </c>
      <c r="F45" s="5">
        <f t="shared" si="1"/>
        <v>-1.1489992587101483E-2</v>
      </c>
      <c r="G45" s="5">
        <f t="shared" si="2"/>
        <v>1.4459653633819958E-2</v>
      </c>
      <c r="H45" s="5">
        <f t="shared" si="3"/>
        <v>-8.0548208704014357E-3</v>
      </c>
      <c r="I45" s="5">
        <f t="shared" si="4"/>
        <v>-5.2265180012657231E-3</v>
      </c>
    </row>
    <row r="46" spans="1:9" x14ac:dyDescent="0.25">
      <c r="A46" s="2">
        <v>41239</v>
      </c>
      <c r="B46" s="64">
        <v>26.98</v>
      </c>
      <c r="C46" s="64">
        <v>661.15</v>
      </c>
      <c r="D46" s="64">
        <v>582.26</v>
      </c>
      <c r="E46" s="65">
        <v>1406.29</v>
      </c>
      <c r="F46" s="5">
        <f t="shared" si="1"/>
        <v>-1.0997067448680342E-2</v>
      </c>
      <c r="G46" s="5">
        <f t="shared" si="2"/>
        <v>-1.0210039373025781E-2</v>
      </c>
      <c r="H46" s="5">
        <f t="shared" si="3"/>
        <v>3.1552839046859571E-2</v>
      </c>
      <c r="I46" s="5">
        <f t="shared" si="4"/>
        <v>-2.0295923074195032E-3</v>
      </c>
    </row>
    <row r="47" spans="1:9" x14ac:dyDescent="0.25">
      <c r="A47" s="2">
        <v>41236</v>
      </c>
      <c r="B47" s="64">
        <v>27.28</v>
      </c>
      <c r="C47" s="64">
        <v>667.97</v>
      </c>
      <c r="D47" s="64">
        <v>564.45000000000005</v>
      </c>
      <c r="E47" s="65">
        <v>1409.15</v>
      </c>
      <c r="F47" s="5">
        <f t="shared" si="1"/>
        <v>2.7882441597588681E-2</v>
      </c>
      <c r="G47" s="5">
        <f t="shared" si="2"/>
        <v>3.1537687536606906E-3</v>
      </c>
      <c r="H47" s="5">
        <f t="shared" si="3"/>
        <v>1.7448672422806011E-2</v>
      </c>
      <c r="I47" s="5">
        <f t="shared" si="4"/>
        <v>1.3026318627204381E-2</v>
      </c>
    </row>
    <row r="48" spans="1:9" x14ac:dyDescent="0.25">
      <c r="A48" s="2">
        <v>41234</v>
      </c>
      <c r="B48" s="64">
        <v>26.54</v>
      </c>
      <c r="C48" s="64">
        <v>665.87</v>
      </c>
      <c r="D48" s="64">
        <v>554.77</v>
      </c>
      <c r="E48" s="65">
        <v>1391.03</v>
      </c>
      <c r="F48" s="5">
        <f t="shared" si="1"/>
        <v>8.7419232231091826E-3</v>
      </c>
      <c r="G48" s="5">
        <f t="shared" si="2"/>
        <v>-6.1196770004627865E-3</v>
      </c>
      <c r="H48" s="5">
        <f t="shared" si="3"/>
        <v>1.4079676528455654E-3</v>
      </c>
      <c r="I48" s="5">
        <f t="shared" si="4"/>
        <v>2.3202023331725385E-3</v>
      </c>
    </row>
    <row r="49" spans="1:9" x14ac:dyDescent="0.25">
      <c r="A49" s="2">
        <v>41233</v>
      </c>
      <c r="B49" s="64">
        <v>26.31</v>
      </c>
      <c r="C49" s="64">
        <v>669.97</v>
      </c>
      <c r="D49" s="64">
        <v>553.99</v>
      </c>
      <c r="E49" s="65">
        <v>1387.81</v>
      </c>
      <c r="F49" s="5">
        <f t="shared" si="1"/>
        <v>-7.5958982149637588E-4</v>
      </c>
      <c r="G49" s="5">
        <f t="shared" si="2"/>
        <v>2.6339025156763007E-3</v>
      </c>
      <c r="H49" s="5">
        <f t="shared" si="3"/>
        <v>-8.5190156599552758E-3</v>
      </c>
      <c r="I49" s="5">
        <f t="shared" si="4"/>
        <v>6.6335470008427322E-4</v>
      </c>
    </row>
    <row r="50" spans="1:9" x14ac:dyDescent="0.25">
      <c r="A50" s="2">
        <v>41232</v>
      </c>
      <c r="B50" s="64">
        <v>26.33</v>
      </c>
      <c r="C50" s="64">
        <v>668.21</v>
      </c>
      <c r="D50" s="64">
        <v>558.75</v>
      </c>
      <c r="E50" s="65">
        <v>1386.89</v>
      </c>
      <c r="F50" s="5">
        <f t="shared" si="1"/>
        <v>8.0398162327717237E-3</v>
      </c>
      <c r="G50" s="5">
        <f t="shared" si="2"/>
        <v>3.2494823696653352E-2</v>
      </c>
      <c r="H50" s="5">
        <f t="shared" si="3"/>
        <v>7.210699004163712E-2</v>
      </c>
      <c r="I50" s="5">
        <f t="shared" si="4"/>
        <v>1.9862046651175191E-2</v>
      </c>
    </row>
    <row r="51" spans="1:9" x14ac:dyDescent="0.25">
      <c r="A51" s="2">
        <v>41229</v>
      </c>
      <c r="B51" s="64">
        <v>26.12</v>
      </c>
      <c r="C51" s="64">
        <v>647.17999999999995</v>
      </c>
      <c r="D51" s="64">
        <v>521.16999999999996</v>
      </c>
      <c r="E51" s="65">
        <v>1359.88</v>
      </c>
      <c r="F51" s="5">
        <f t="shared" si="1"/>
        <v>-5.331302361005319E-3</v>
      </c>
      <c r="G51" s="5">
        <f t="shared" si="2"/>
        <v>-1.2359793591454338E-4</v>
      </c>
      <c r="H51" s="5">
        <f t="shared" si="3"/>
        <v>3.9103132103093241E-3</v>
      </c>
      <c r="I51" s="5">
        <f t="shared" si="4"/>
        <v>4.8399133988015208E-3</v>
      </c>
    </row>
    <row r="52" spans="1:9" x14ac:dyDescent="0.25">
      <c r="A52" s="2">
        <v>41228</v>
      </c>
      <c r="B52" s="64">
        <v>26.26</v>
      </c>
      <c r="C52" s="64">
        <v>647.26</v>
      </c>
      <c r="D52" s="64">
        <v>519.14</v>
      </c>
      <c r="E52" s="65">
        <v>1353.33</v>
      </c>
      <c r="F52" s="5">
        <f t="shared" si="1"/>
        <v>-6.4320847521754931E-3</v>
      </c>
      <c r="G52" s="5">
        <f t="shared" si="2"/>
        <v>-8.1066584936019259E-3</v>
      </c>
      <c r="H52" s="5">
        <f t="shared" si="3"/>
        <v>-2.0970844491381646E-2</v>
      </c>
      <c r="I52" s="5">
        <f t="shared" si="4"/>
        <v>-1.5935196866078138E-3</v>
      </c>
    </row>
    <row r="53" spans="1:9" x14ac:dyDescent="0.25">
      <c r="A53" s="2">
        <v>41227</v>
      </c>
      <c r="B53" s="64">
        <v>26.43</v>
      </c>
      <c r="C53" s="64">
        <v>652.54999999999995</v>
      </c>
      <c r="D53" s="64">
        <v>530.26</v>
      </c>
      <c r="E53" s="65">
        <v>1355.49</v>
      </c>
      <c r="F53" s="5">
        <f t="shared" si="1"/>
        <v>-9.3703148425786642E-3</v>
      </c>
      <c r="G53" s="5">
        <f t="shared" si="2"/>
        <v>-9.8626811319323382E-3</v>
      </c>
      <c r="H53" s="5">
        <f t="shared" si="3"/>
        <v>-1.1096398798978058E-2</v>
      </c>
      <c r="I53" s="5">
        <f t="shared" si="4"/>
        <v>-1.3852007595323457E-2</v>
      </c>
    </row>
    <row r="54" spans="1:9" x14ac:dyDescent="0.25">
      <c r="A54" s="2">
        <v>41226</v>
      </c>
      <c r="B54" s="64">
        <v>26.68</v>
      </c>
      <c r="C54" s="64">
        <v>659.05</v>
      </c>
      <c r="D54" s="64">
        <v>536.21</v>
      </c>
      <c r="E54" s="65">
        <v>1374.53</v>
      </c>
      <c r="F54" s="5">
        <f t="shared" si="1"/>
        <v>-3.2281465360899597E-2</v>
      </c>
      <c r="G54" s="5">
        <f t="shared" si="2"/>
        <v>-1.0286829854332491E-2</v>
      </c>
      <c r="H54" s="5">
        <f t="shared" si="3"/>
        <v>1.3056291267221631E-4</v>
      </c>
      <c r="I54" s="5">
        <f t="shared" si="4"/>
        <v>-3.9854206067984066E-3</v>
      </c>
    </row>
    <row r="55" spans="1:9" x14ac:dyDescent="0.25">
      <c r="A55" s="2">
        <v>41225</v>
      </c>
      <c r="B55" s="64">
        <v>27.57</v>
      </c>
      <c r="C55" s="64">
        <v>665.9</v>
      </c>
      <c r="D55" s="64">
        <v>536.14</v>
      </c>
      <c r="E55" s="65">
        <v>1380.03</v>
      </c>
      <c r="F55" s="5">
        <f t="shared" si="1"/>
        <v>-2.0951704545454586E-2</v>
      </c>
      <c r="G55" s="5">
        <f t="shared" si="2"/>
        <v>4.3286125816328624E-3</v>
      </c>
      <c r="H55" s="5">
        <f t="shared" si="3"/>
        <v>-7.7177916381335754E-3</v>
      </c>
      <c r="I55" s="5">
        <f t="shared" si="4"/>
        <v>1.304489618436655E-4</v>
      </c>
    </row>
    <row r="56" spans="1:9" x14ac:dyDescent="0.25">
      <c r="A56" s="2">
        <v>41222</v>
      </c>
      <c r="B56" s="64">
        <v>28.16</v>
      </c>
      <c r="C56" s="64">
        <v>663.03</v>
      </c>
      <c r="D56" s="64">
        <v>540.30999999999995</v>
      </c>
      <c r="E56" s="65">
        <v>1379.85</v>
      </c>
      <c r="F56" s="5">
        <f t="shared" si="1"/>
        <v>7.1073205401561701E-4</v>
      </c>
      <c r="G56" s="5">
        <f t="shared" si="2"/>
        <v>1.6465069217679318E-2</v>
      </c>
      <c r="H56" s="5">
        <f t="shared" si="3"/>
        <v>1.7303057689410872E-2</v>
      </c>
      <c r="I56" s="5">
        <f t="shared" si="4"/>
        <v>1.6987172506914838E-3</v>
      </c>
    </row>
    <row r="57" spans="1:9" x14ac:dyDescent="0.25">
      <c r="A57" s="2">
        <v>41221</v>
      </c>
      <c r="B57" s="64">
        <v>28.14</v>
      </c>
      <c r="C57" s="64">
        <v>652.29</v>
      </c>
      <c r="D57" s="64">
        <v>531.12</v>
      </c>
      <c r="E57" s="65">
        <v>1377.51</v>
      </c>
      <c r="F57" s="5">
        <f t="shared" si="1"/>
        <v>-9.5036958817317219E-3</v>
      </c>
      <c r="G57" s="5">
        <f t="shared" si="2"/>
        <v>-2.2229883679098283E-2</v>
      </c>
      <c r="H57" s="5">
        <f t="shared" si="3"/>
        <v>-3.6289737262302224E-2</v>
      </c>
      <c r="I57" s="5">
        <f t="shared" si="4"/>
        <v>-1.2204828867073525E-2</v>
      </c>
    </row>
    <row r="58" spans="1:9" x14ac:dyDescent="0.25">
      <c r="A58" s="2">
        <v>41220</v>
      </c>
      <c r="B58" s="64">
        <v>28.41</v>
      </c>
      <c r="C58" s="64">
        <v>667.12</v>
      </c>
      <c r="D58" s="64">
        <v>551.12</v>
      </c>
      <c r="E58" s="65">
        <v>1394.53</v>
      </c>
      <c r="F58" s="5">
        <f t="shared" si="1"/>
        <v>-2.6054165238258542E-2</v>
      </c>
      <c r="G58" s="5">
        <f t="shared" si="2"/>
        <v>-2.1416417297424162E-2</v>
      </c>
      <c r="H58" s="5">
        <f t="shared" si="3"/>
        <v>-3.8268911962306862E-2</v>
      </c>
      <c r="I58" s="5">
        <f t="shared" si="4"/>
        <v>-2.3705010536338222E-2</v>
      </c>
    </row>
    <row r="59" spans="1:9" x14ac:dyDescent="0.25">
      <c r="A59" s="2">
        <v>41219</v>
      </c>
      <c r="B59" s="64">
        <v>29.17</v>
      </c>
      <c r="C59" s="64">
        <v>681.72</v>
      </c>
      <c r="D59" s="64">
        <v>573.04999999999995</v>
      </c>
      <c r="E59" s="65">
        <v>1428.39</v>
      </c>
      <c r="F59" s="5">
        <f t="shared" si="1"/>
        <v>7.9474775397374575E-3</v>
      </c>
      <c r="G59" s="5">
        <f t="shared" si="2"/>
        <v>-1.815626098160994E-3</v>
      </c>
      <c r="H59" s="5">
        <f t="shared" si="3"/>
        <v>-3.0271925398841493E-3</v>
      </c>
      <c r="I59" s="5">
        <f t="shared" si="4"/>
        <v>7.8531814910460795E-3</v>
      </c>
    </row>
    <row r="60" spans="1:9" x14ac:dyDescent="0.25">
      <c r="A60" s="2">
        <v>41218</v>
      </c>
      <c r="B60" s="64">
        <v>28.94</v>
      </c>
      <c r="C60" s="64">
        <v>682.96</v>
      </c>
      <c r="D60" s="64">
        <v>574.79</v>
      </c>
      <c r="E60" s="65">
        <v>1417.26</v>
      </c>
      <c r="F60" s="5">
        <f t="shared" si="1"/>
        <v>4.1637751561416358E-3</v>
      </c>
      <c r="G60" s="5">
        <f t="shared" si="2"/>
        <v>-7.2101407140363616E-3</v>
      </c>
      <c r="H60" s="5">
        <f t="shared" si="3"/>
        <v>1.356021865632151E-2</v>
      </c>
      <c r="I60" s="5">
        <f t="shared" si="4"/>
        <v>2.1637675010606205E-3</v>
      </c>
    </row>
    <row r="61" spans="1:9" x14ac:dyDescent="0.25">
      <c r="A61" s="2">
        <v>41215</v>
      </c>
      <c r="B61" s="64">
        <v>28.82</v>
      </c>
      <c r="C61" s="64">
        <v>687.92</v>
      </c>
      <c r="D61" s="64">
        <v>567.1</v>
      </c>
      <c r="E61" s="65">
        <v>1414.2</v>
      </c>
      <c r="F61" s="5">
        <f t="shared" si="1"/>
        <v>-6.9348127600554754E-4</v>
      </c>
      <c r="G61" s="5">
        <f t="shared" si="2"/>
        <v>4.7993717186112228E-4</v>
      </c>
      <c r="H61" s="5">
        <f t="shared" si="3"/>
        <v>-3.3077578857629963E-2</v>
      </c>
      <c r="I61" s="5">
        <f t="shared" si="4"/>
        <v>-9.3794436778065204E-3</v>
      </c>
    </row>
    <row r="62" spans="1:9" x14ac:dyDescent="0.25">
      <c r="A62" s="2">
        <v>41214</v>
      </c>
      <c r="B62" s="64">
        <v>28.84</v>
      </c>
      <c r="C62" s="64">
        <v>687.59</v>
      </c>
      <c r="D62" s="64">
        <v>586.5</v>
      </c>
      <c r="E62" s="65">
        <v>1427.59</v>
      </c>
      <c r="F62" s="5">
        <f t="shared" si="1"/>
        <v>3.4433285509325673E-2</v>
      </c>
      <c r="G62" s="5">
        <f t="shared" si="2"/>
        <v>1.0715860649713527E-2</v>
      </c>
      <c r="H62" s="5">
        <f t="shared" si="3"/>
        <v>2.0331106593087789E-3</v>
      </c>
      <c r="I62" s="5">
        <f t="shared" si="4"/>
        <v>1.0926523906639396E-2</v>
      </c>
    </row>
    <row r="63" spans="1:9" x14ac:dyDescent="0.25">
      <c r="A63" s="2">
        <v>41213</v>
      </c>
      <c r="B63" s="64">
        <v>27.88</v>
      </c>
      <c r="C63" s="64">
        <v>680.3</v>
      </c>
      <c r="D63" s="64">
        <v>585.30999999999995</v>
      </c>
      <c r="E63" s="65">
        <v>1412.16</v>
      </c>
      <c r="F63" s="5">
        <f t="shared" si="1"/>
        <v>1.1611030478954953E-2</v>
      </c>
      <c r="G63" s="5">
        <f t="shared" si="2"/>
        <v>7.6279345330667603E-3</v>
      </c>
      <c r="H63" s="5">
        <f t="shared" si="3"/>
        <v>-1.4364138488481837E-2</v>
      </c>
      <c r="I63" s="5">
        <f t="shared" si="4"/>
        <v>1.5581398642994237E-4</v>
      </c>
    </row>
    <row r="64" spans="1:9" x14ac:dyDescent="0.25">
      <c r="A64" s="2">
        <v>41208</v>
      </c>
      <c r="B64" s="64">
        <v>27.56</v>
      </c>
      <c r="C64" s="64">
        <v>675.15</v>
      </c>
      <c r="D64" s="64">
        <v>593.84</v>
      </c>
      <c r="E64" s="65">
        <v>1411.94</v>
      </c>
      <c r="F64" s="5">
        <f t="shared" si="1"/>
        <v>1.2118986412045452E-2</v>
      </c>
      <c r="G64" s="5">
        <f t="shared" si="2"/>
        <v>-3.8509206798866824E-3</v>
      </c>
      <c r="H64" s="5">
        <f t="shared" si="3"/>
        <v>-9.0940946787030352E-3</v>
      </c>
      <c r="I64" s="5">
        <f t="shared" si="4"/>
        <v>-7.2896098289421118E-4</v>
      </c>
    </row>
    <row r="65" spans="1:9" x14ac:dyDescent="0.25">
      <c r="A65" s="2">
        <v>41207</v>
      </c>
      <c r="B65" s="64">
        <v>27.23</v>
      </c>
      <c r="C65" s="64">
        <v>677.76</v>
      </c>
      <c r="D65" s="64">
        <v>599.29</v>
      </c>
      <c r="E65" s="65">
        <v>1412.97</v>
      </c>
      <c r="F65" s="5">
        <f t="shared" si="1"/>
        <v>-7.3394495412837379E-4</v>
      </c>
      <c r="G65" s="5">
        <f t="shared" si="2"/>
        <v>6.7916728185446473E-4</v>
      </c>
      <c r="H65" s="5">
        <f t="shared" si="3"/>
        <v>-1.1806414378761731E-2</v>
      </c>
      <c r="I65" s="5">
        <f t="shared" si="4"/>
        <v>2.9955634427685229E-3</v>
      </c>
    </row>
    <row r="66" spans="1:9" x14ac:dyDescent="0.25">
      <c r="A66" s="2">
        <v>41206</v>
      </c>
      <c r="B66" s="64">
        <v>27.25</v>
      </c>
      <c r="C66" s="64">
        <v>677.3</v>
      </c>
      <c r="D66" s="64">
        <v>606.45000000000005</v>
      </c>
      <c r="E66" s="65">
        <v>1408.75</v>
      </c>
      <c r="F66" s="5">
        <f t="shared" si="1"/>
        <v>-5.4744525547444356E-3</v>
      </c>
      <c r="G66" s="5">
        <f t="shared" si="2"/>
        <v>-4.4829866980231614E-3</v>
      </c>
      <c r="H66" s="5">
        <f t="shared" si="3"/>
        <v>5.6546829397718934E-3</v>
      </c>
      <c r="I66" s="5">
        <f t="shared" si="4"/>
        <v>-3.0853932107195448E-3</v>
      </c>
    </row>
    <row r="67" spans="1:9" x14ac:dyDescent="0.25">
      <c r="A67" s="2">
        <v>41205</v>
      </c>
      <c r="B67" s="64">
        <v>27.4</v>
      </c>
      <c r="C67" s="64">
        <v>680.35</v>
      </c>
      <c r="D67" s="64">
        <v>603.04</v>
      </c>
      <c r="E67" s="65">
        <v>1413.11</v>
      </c>
      <c r="F67" s="5">
        <f t="shared" si="1"/>
        <v>1.8281535648994041E-3</v>
      </c>
      <c r="G67" s="5">
        <f t="shared" si="2"/>
        <v>2.475429884922109E-3</v>
      </c>
      <c r="H67" s="5">
        <f t="shared" si="3"/>
        <v>-3.259753593429171E-2</v>
      </c>
      <c r="I67" s="5">
        <f t="shared" si="4"/>
        <v>-1.4443932990194086E-2</v>
      </c>
    </row>
    <row r="68" spans="1:9" x14ac:dyDescent="0.25">
      <c r="A68" s="2">
        <v>41204</v>
      </c>
      <c r="B68" s="64">
        <v>27.35</v>
      </c>
      <c r="C68" s="64">
        <v>678.67</v>
      </c>
      <c r="D68" s="64">
        <v>623.36</v>
      </c>
      <c r="E68" s="65">
        <v>1433.82</v>
      </c>
      <c r="F68" s="5">
        <f t="shared" si="1"/>
        <v>-2.2516082916368751E-2</v>
      </c>
      <c r="G68" s="5">
        <f t="shared" si="2"/>
        <v>-4.5761891491514772E-3</v>
      </c>
      <c r="H68" s="5">
        <f t="shared" si="3"/>
        <v>3.9661096100603643E-2</v>
      </c>
      <c r="I68" s="5">
        <f t="shared" si="4"/>
        <v>4.3957884160494842E-4</v>
      </c>
    </row>
    <row r="69" spans="1:9" x14ac:dyDescent="0.25">
      <c r="A69" s="2">
        <v>41201</v>
      </c>
      <c r="B69" s="64">
        <v>27.98</v>
      </c>
      <c r="C69" s="64">
        <v>681.79</v>
      </c>
      <c r="D69" s="64">
        <v>599.58000000000004</v>
      </c>
      <c r="E69" s="65">
        <v>1433.19</v>
      </c>
      <c r="F69" s="5">
        <f t="shared" si="1"/>
        <v>-2.9146426092991007E-2</v>
      </c>
      <c r="G69" s="5">
        <f t="shared" si="2"/>
        <v>-1.9007194244604397E-2</v>
      </c>
      <c r="H69" s="5">
        <f t="shared" si="3"/>
        <v>-3.6045016077170366E-2</v>
      </c>
      <c r="I69" s="5">
        <f t="shared" si="4"/>
        <v>-1.6571287414055669E-2</v>
      </c>
    </row>
    <row r="70" spans="1:9" x14ac:dyDescent="0.25">
      <c r="A70" s="2">
        <v>41200</v>
      </c>
      <c r="B70" s="64">
        <v>28.82</v>
      </c>
      <c r="C70" s="64">
        <v>695</v>
      </c>
      <c r="D70" s="64">
        <v>622</v>
      </c>
      <c r="E70" s="65">
        <v>1457.34</v>
      </c>
      <c r="F70" s="5">
        <f t="shared" si="1"/>
        <v>-3.1131096506399336E-3</v>
      </c>
      <c r="G70" s="5">
        <f t="shared" si="2"/>
        <v>-8.0067241128274347E-2</v>
      </c>
      <c r="H70" s="5">
        <f t="shared" si="3"/>
        <v>-1.8571406030578941E-2</v>
      </c>
      <c r="I70" s="5">
        <f t="shared" si="4"/>
        <v>-2.4436823623632531E-3</v>
      </c>
    </row>
    <row r="71" spans="1:9" x14ac:dyDescent="0.25">
      <c r="A71" s="2">
        <v>41199</v>
      </c>
      <c r="B71" s="64">
        <v>28.91</v>
      </c>
      <c r="C71" s="64">
        <v>755.49</v>
      </c>
      <c r="D71" s="64">
        <v>633.77</v>
      </c>
      <c r="E71" s="65">
        <v>1460.91</v>
      </c>
      <c r="F71" s="5">
        <f t="shared" si="1"/>
        <v>3.4710170079834679E-3</v>
      </c>
      <c r="G71" s="5">
        <f t="shared" si="2"/>
        <v>1.4489055995702937E-2</v>
      </c>
      <c r="H71" s="5">
        <f t="shared" si="3"/>
        <v>-7.9673167830197622E-3</v>
      </c>
      <c r="I71" s="5">
        <f t="shared" si="4"/>
        <v>4.117064855799546E-3</v>
      </c>
    </row>
    <row r="72" spans="1:9" x14ac:dyDescent="0.25">
      <c r="A72" s="2">
        <v>41198</v>
      </c>
      <c r="B72" s="64">
        <v>28.81</v>
      </c>
      <c r="C72" s="64">
        <v>744.7</v>
      </c>
      <c r="D72" s="64">
        <v>638.86</v>
      </c>
      <c r="E72" s="65">
        <v>1454.92</v>
      </c>
      <c r="F72" s="5">
        <f t="shared" si="1"/>
        <v>-6.9372181755111839E-4</v>
      </c>
      <c r="G72" s="5">
        <f t="shared" si="2"/>
        <v>5.020378417771143E-3</v>
      </c>
      <c r="H72" s="5">
        <f t="shared" si="3"/>
        <v>2.3682861171644642E-2</v>
      </c>
      <c r="I72" s="5">
        <f t="shared" si="4"/>
        <v>1.0269906189024569E-2</v>
      </c>
    </row>
    <row r="73" spans="1:9" x14ac:dyDescent="0.25">
      <c r="A73" s="2">
        <v>41197</v>
      </c>
      <c r="B73" s="64">
        <v>28.83</v>
      </c>
      <c r="C73" s="64">
        <v>740.98</v>
      </c>
      <c r="D73" s="64">
        <v>624.08000000000004</v>
      </c>
      <c r="E73" s="65">
        <v>1440.13</v>
      </c>
      <c r="F73" s="5">
        <f t="shared" si="1"/>
        <v>1.0869565217391353E-2</v>
      </c>
      <c r="G73" s="5">
        <f t="shared" si="2"/>
        <v>-5.0621013763006983E-3</v>
      </c>
      <c r="H73" s="5">
        <f t="shared" si="3"/>
        <v>8.0113709781626241E-3</v>
      </c>
      <c r="I73" s="5">
        <f t="shared" si="4"/>
        <v>8.0778949873652195E-3</v>
      </c>
    </row>
    <row r="74" spans="1:9" x14ac:dyDescent="0.25">
      <c r="A74" s="2">
        <v>41194</v>
      </c>
      <c r="B74" s="64">
        <v>28.52</v>
      </c>
      <c r="C74" s="64">
        <v>744.75</v>
      </c>
      <c r="D74" s="64">
        <v>619.12</v>
      </c>
      <c r="E74" s="65">
        <v>1428.59</v>
      </c>
      <c r="F74" s="5">
        <f t="shared" si="1"/>
        <v>8.4865629420083355E-3</v>
      </c>
      <c r="G74" s="5">
        <f t="shared" si="2"/>
        <v>-8.9556608292968853E-3</v>
      </c>
      <c r="H74" s="5">
        <f t="shared" si="3"/>
        <v>2.5747736952050904E-3</v>
      </c>
      <c r="I74" s="5">
        <f t="shared" si="4"/>
        <v>-2.9661371820999261E-3</v>
      </c>
    </row>
    <row r="75" spans="1:9" x14ac:dyDescent="0.25">
      <c r="A75" s="2">
        <v>41193</v>
      </c>
      <c r="B75" s="64">
        <v>28.28</v>
      </c>
      <c r="C75" s="64">
        <v>751.48</v>
      </c>
      <c r="D75" s="64">
        <v>617.53</v>
      </c>
      <c r="E75" s="65">
        <v>1432.84</v>
      </c>
      <c r="F75" s="5">
        <f t="shared" si="1"/>
        <v>-1.0596962204166838E-3</v>
      </c>
      <c r="G75" s="5">
        <f t="shared" si="2"/>
        <v>9.2940797249383422E-3</v>
      </c>
      <c r="H75" s="5">
        <f t="shared" si="3"/>
        <v>-1.9995873867297287E-2</v>
      </c>
      <c r="I75" s="5">
        <f t="shared" si="4"/>
        <v>1.9545429161782479E-4</v>
      </c>
    </row>
    <row r="76" spans="1:9" x14ac:dyDescent="0.25">
      <c r="A76" s="2">
        <v>41192</v>
      </c>
      <c r="B76" s="64">
        <v>28.31</v>
      </c>
      <c r="C76" s="64">
        <v>744.56</v>
      </c>
      <c r="D76" s="64">
        <v>630.13</v>
      </c>
      <c r="E76" s="65">
        <v>1432.56</v>
      </c>
      <c r="F76" s="5">
        <f t="shared" si="1"/>
        <v>-1.0139860139860235E-2</v>
      </c>
      <c r="G76" s="5">
        <f t="shared" si="2"/>
        <v>6.3164402155635457E-4</v>
      </c>
      <c r="H76" s="5">
        <f t="shared" si="3"/>
        <v>7.9660881388468052E-3</v>
      </c>
      <c r="I76" s="5">
        <f t="shared" si="4"/>
        <v>-6.188084468740529E-3</v>
      </c>
    </row>
    <row r="77" spans="1:9" x14ac:dyDescent="0.25">
      <c r="A77" s="2">
        <v>41191</v>
      </c>
      <c r="B77" s="64">
        <v>28.6</v>
      </c>
      <c r="C77" s="64">
        <v>744.09</v>
      </c>
      <c r="D77" s="64">
        <v>625.15</v>
      </c>
      <c r="E77" s="65">
        <v>1441.48</v>
      </c>
      <c r="F77" s="5">
        <f t="shared" si="1"/>
        <v>-1.6844276383636947E-2</v>
      </c>
      <c r="G77" s="5">
        <f t="shared" si="2"/>
        <v>-1.814367148738516E-2</v>
      </c>
      <c r="H77" s="5">
        <f t="shared" si="3"/>
        <v>-3.6338715075785455E-3</v>
      </c>
      <c r="I77" s="5">
        <f t="shared" si="4"/>
        <v>-9.8909250762425627E-3</v>
      </c>
    </row>
    <row r="78" spans="1:9" x14ac:dyDescent="0.25">
      <c r="A78" s="2">
        <v>41190</v>
      </c>
      <c r="B78" s="64">
        <v>29.09</v>
      </c>
      <c r="C78" s="64">
        <v>757.84</v>
      </c>
      <c r="D78" s="64">
        <v>627.42999999999995</v>
      </c>
      <c r="E78" s="65">
        <v>1455.88</v>
      </c>
      <c r="F78" s="5">
        <f t="shared" si="1"/>
        <v>-2.4005486968450285E-3</v>
      </c>
      <c r="G78" s="5">
        <f t="shared" si="2"/>
        <v>-1.277926138214025E-2</v>
      </c>
      <c r="H78" s="5">
        <f t="shared" si="3"/>
        <v>-2.2100653044684559E-2</v>
      </c>
      <c r="I78" s="5">
        <f t="shared" si="4"/>
        <v>-3.4567022376157386E-3</v>
      </c>
    </row>
    <row r="79" spans="1:9" x14ac:dyDescent="0.25">
      <c r="A79" s="2">
        <v>41187</v>
      </c>
      <c r="B79" s="64">
        <v>29.16</v>
      </c>
      <c r="C79" s="64">
        <v>767.65</v>
      </c>
      <c r="D79" s="64">
        <v>641.61</v>
      </c>
      <c r="E79" s="65">
        <v>1460.93</v>
      </c>
      <c r="F79" s="5">
        <f t="shared" si="1"/>
        <v>-5.7961131946810962E-3</v>
      </c>
      <c r="G79" s="5">
        <f t="shared" si="2"/>
        <v>-5.2079942712057736E-4</v>
      </c>
      <c r="H79" s="5">
        <f t="shared" si="3"/>
        <v>-2.1309374904664558E-2</v>
      </c>
      <c r="I79" s="5">
        <f t="shared" si="4"/>
        <v>-3.2160941562886514E-4</v>
      </c>
    </row>
    <row r="80" spans="1:9" x14ac:dyDescent="0.25">
      <c r="A80" s="2">
        <v>41186</v>
      </c>
      <c r="B80" s="64">
        <v>29.33</v>
      </c>
      <c r="C80" s="64">
        <v>768.05</v>
      </c>
      <c r="D80" s="64">
        <v>655.58</v>
      </c>
      <c r="E80" s="65">
        <v>1461.4</v>
      </c>
      <c r="F80" s="5">
        <f t="shared" si="1"/>
        <v>5.4850874185805587E-3</v>
      </c>
      <c r="G80" s="5">
        <f t="shared" si="2"/>
        <v>7.2786885245901267E-3</v>
      </c>
      <c r="H80" s="5">
        <f t="shared" si="3"/>
        <v>-6.9226690903581023E-3</v>
      </c>
      <c r="I80" s="5">
        <f t="shared" si="4"/>
        <v>7.1744119532182182E-3</v>
      </c>
    </row>
    <row r="81" spans="1:9" x14ac:dyDescent="0.25">
      <c r="A81" s="2">
        <v>41185</v>
      </c>
      <c r="B81" s="64">
        <v>29.17</v>
      </c>
      <c r="C81" s="64">
        <v>762.5</v>
      </c>
      <c r="D81" s="64">
        <v>660.15</v>
      </c>
      <c r="E81" s="65">
        <v>1450.99</v>
      </c>
      <c r="F81" s="5">
        <f t="shared" si="1"/>
        <v>6.9036934760098312E-3</v>
      </c>
      <c r="G81" s="5">
        <f t="shared" si="2"/>
        <v>7.2788279898017283E-3</v>
      </c>
      <c r="H81" s="5">
        <f t="shared" si="3"/>
        <v>1.5318599178701486E-2</v>
      </c>
      <c r="I81" s="5">
        <f t="shared" si="4"/>
        <v>3.6244163928755846E-3</v>
      </c>
    </row>
    <row r="82" spans="1:9" x14ac:dyDescent="0.25">
      <c r="A82" s="2">
        <v>41184</v>
      </c>
      <c r="B82" s="64">
        <v>28.97</v>
      </c>
      <c r="C82" s="64">
        <v>756.99</v>
      </c>
      <c r="D82" s="64">
        <v>650.19000000000005</v>
      </c>
      <c r="E82" s="65">
        <v>1445.75</v>
      </c>
      <c r="F82" s="5">
        <f t="shared" si="1"/>
        <v>5.5536272127734154E-3</v>
      </c>
      <c r="G82" s="5">
        <f t="shared" si="2"/>
        <v>-6.2879046443854447E-3</v>
      </c>
      <c r="H82" s="5">
        <f t="shared" si="3"/>
        <v>2.9153169828783909E-3</v>
      </c>
      <c r="I82" s="5">
        <f t="shared" si="4"/>
        <v>8.722801819327497E-4</v>
      </c>
    </row>
    <row r="83" spans="1:9" x14ac:dyDescent="0.25">
      <c r="A83" s="2">
        <v>41183</v>
      </c>
      <c r="B83" s="64">
        <v>28.81</v>
      </c>
      <c r="C83" s="64">
        <v>761.78</v>
      </c>
      <c r="D83" s="64">
        <v>648.29999999999995</v>
      </c>
      <c r="E83" s="65">
        <v>1444.49</v>
      </c>
      <c r="F83" s="5">
        <f t="shared" si="1"/>
        <v>-8.9439284485725024E-3</v>
      </c>
      <c r="G83" s="5">
        <f t="shared" si="2"/>
        <v>9.6487740225315033E-3</v>
      </c>
      <c r="H83" s="5">
        <f t="shared" si="3"/>
        <v>-1.1556992132707222E-2</v>
      </c>
      <c r="I83" s="5">
        <f t="shared" si="4"/>
        <v>2.6515440732437501E-3</v>
      </c>
    </row>
    <row r="84" spans="1:9" x14ac:dyDescent="0.25">
      <c r="A84" s="2">
        <v>41180</v>
      </c>
      <c r="B84" s="64">
        <v>29.07</v>
      </c>
      <c r="C84" s="64">
        <v>754.5</v>
      </c>
      <c r="D84" s="64">
        <v>655.88</v>
      </c>
      <c r="E84" s="65">
        <v>1440.67</v>
      </c>
      <c r="F84" s="5">
        <f t="shared" si="1"/>
        <v>-1.3238289205702691E-2</v>
      </c>
      <c r="G84" s="5">
        <f t="shared" si="2"/>
        <v>-2.6437541308658163E-3</v>
      </c>
      <c r="H84" s="5">
        <f t="shared" si="3"/>
        <v>-2.0870032544113681E-2</v>
      </c>
      <c r="I84" s="5">
        <f t="shared" si="4"/>
        <v>-4.4777666447846087E-3</v>
      </c>
    </row>
    <row r="85" spans="1:9" x14ac:dyDescent="0.25">
      <c r="A85" s="2">
        <v>41179</v>
      </c>
      <c r="B85" s="64">
        <v>29.46</v>
      </c>
      <c r="C85" s="64">
        <v>756.5</v>
      </c>
      <c r="D85" s="64">
        <v>669.86</v>
      </c>
      <c r="E85" s="65">
        <v>1447.15</v>
      </c>
      <c r="F85" s="5">
        <f t="shared" si="1"/>
        <v>-3.39328130301908E-4</v>
      </c>
      <c r="G85" s="5">
        <f t="shared" si="2"/>
        <v>4.0347198258698924E-3</v>
      </c>
      <c r="H85" s="5">
        <f t="shared" si="3"/>
        <v>2.4266426092142135E-2</v>
      </c>
      <c r="I85" s="5">
        <f t="shared" si="4"/>
        <v>9.648926966762561E-3</v>
      </c>
    </row>
    <row r="86" spans="1:9" x14ac:dyDescent="0.25">
      <c r="A86" s="2">
        <v>41178</v>
      </c>
      <c r="B86" s="64">
        <v>29.47</v>
      </c>
      <c r="C86" s="64">
        <v>753.46</v>
      </c>
      <c r="D86" s="64">
        <v>653.99</v>
      </c>
      <c r="E86" s="65">
        <v>1433.32</v>
      </c>
      <c r="F86" s="5">
        <f t="shared" si="1"/>
        <v>-7.4099023240149497E-3</v>
      </c>
      <c r="G86" s="5">
        <f t="shared" si="2"/>
        <v>5.7397618666239492E-3</v>
      </c>
      <c r="H86" s="5">
        <f t="shared" si="3"/>
        <v>-1.2412980776490889E-2</v>
      </c>
      <c r="I86" s="5">
        <f t="shared" si="4"/>
        <v>-5.736721259165245E-3</v>
      </c>
    </row>
    <row r="87" spans="1:9" x14ac:dyDescent="0.25">
      <c r="A87" s="2">
        <v>41177</v>
      </c>
      <c r="B87" s="64">
        <v>29.69</v>
      </c>
      <c r="C87" s="64">
        <v>749.16</v>
      </c>
      <c r="D87" s="64">
        <v>662.21</v>
      </c>
      <c r="E87" s="65">
        <v>1441.59</v>
      </c>
      <c r="F87" s="5">
        <f t="shared" ref="F87:F150" si="5">(B87/B88)-1</f>
        <v>-1.2637179913535079E-2</v>
      </c>
      <c r="G87" s="5">
        <f t="shared" ref="G87:G150" si="6">(C87/C88)-1</f>
        <v>-2.9357602284563189E-4</v>
      </c>
      <c r="H87" s="5">
        <f t="shared" ref="H87:H150" si="7">(D87/D88)-1</f>
        <v>-2.4971656580826451E-2</v>
      </c>
      <c r="I87" s="5">
        <f t="shared" ref="I87:I150" si="8">(E87/E88)-1</f>
        <v>-1.0501822375059366E-2</v>
      </c>
    </row>
    <row r="88" spans="1:9" x14ac:dyDescent="0.25">
      <c r="A88" s="2">
        <v>41176</v>
      </c>
      <c r="B88" s="64">
        <v>30.07</v>
      </c>
      <c r="C88" s="64">
        <v>749.38</v>
      </c>
      <c r="D88" s="64">
        <v>679.17</v>
      </c>
      <c r="E88" s="65">
        <v>1456.89</v>
      </c>
      <c r="F88" s="5">
        <f t="shared" si="5"/>
        <v>-1.312766655726938E-2</v>
      </c>
      <c r="G88" s="5">
        <f t="shared" si="6"/>
        <v>2.0967588114279456E-2</v>
      </c>
      <c r="H88" s="5">
        <f t="shared" si="7"/>
        <v>-1.3278900495416246E-2</v>
      </c>
      <c r="I88" s="5">
        <f t="shared" si="8"/>
        <v>-2.2326473307536787E-3</v>
      </c>
    </row>
    <row r="89" spans="1:9" x14ac:dyDescent="0.25">
      <c r="A89" s="2">
        <v>41173</v>
      </c>
      <c r="B89" s="64">
        <v>30.47</v>
      </c>
      <c r="C89" s="64">
        <v>733.99</v>
      </c>
      <c r="D89" s="64">
        <v>688.31</v>
      </c>
      <c r="E89" s="65">
        <v>1460.15</v>
      </c>
      <c r="F89" s="5">
        <f t="shared" si="5"/>
        <v>-8.1380208333333703E-3</v>
      </c>
      <c r="G89" s="5">
        <f t="shared" si="6"/>
        <v>8.0618579355051789E-3</v>
      </c>
      <c r="H89" s="5">
        <f t="shared" si="7"/>
        <v>1.9797656306861366E-3</v>
      </c>
      <c r="I89" s="5">
        <f t="shared" si="8"/>
        <v>-7.5329050990835533E-5</v>
      </c>
    </row>
    <row r="90" spans="1:9" x14ac:dyDescent="0.25">
      <c r="A90" s="2">
        <v>41172</v>
      </c>
      <c r="B90" s="64">
        <v>30.72</v>
      </c>
      <c r="C90" s="64">
        <v>728.12</v>
      </c>
      <c r="D90" s="64">
        <v>686.95</v>
      </c>
      <c r="E90" s="65">
        <v>1460.26</v>
      </c>
      <c r="F90" s="5">
        <f t="shared" si="5"/>
        <v>1.285855588526208E-2</v>
      </c>
      <c r="G90" s="5">
        <f t="shared" si="6"/>
        <v>8.5223367697584429E-4</v>
      </c>
      <c r="H90" s="5">
        <f t="shared" si="7"/>
        <v>-4.8385461182980372E-3</v>
      </c>
      <c r="I90" s="5">
        <f t="shared" si="8"/>
        <v>-5.4070702576913821E-4</v>
      </c>
    </row>
    <row r="91" spans="1:9" x14ac:dyDescent="0.25">
      <c r="A91" s="2">
        <v>41171</v>
      </c>
      <c r="B91" s="64">
        <v>30.33</v>
      </c>
      <c r="C91" s="64">
        <v>727.5</v>
      </c>
      <c r="D91" s="64">
        <v>690.29</v>
      </c>
      <c r="E91" s="65">
        <v>1461.05</v>
      </c>
      <c r="F91" s="5">
        <f t="shared" si="5"/>
        <v>-4.2678923177938977E-3</v>
      </c>
      <c r="G91" s="5">
        <f t="shared" si="6"/>
        <v>1.283621985855099E-2</v>
      </c>
      <c r="H91" s="5">
        <f t="shared" si="7"/>
        <v>2.7532241704086857E-4</v>
      </c>
      <c r="I91" s="5">
        <f t="shared" si="8"/>
        <v>1.1854836499192167E-3</v>
      </c>
    </row>
    <row r="92" spans="1:9" x14ac:dyDescent="0.25">
      <c r="A92" s="2">
        <v>41170</v>
      </c>
      <c r="B92" s="64">
        <v>30.46</v>
      </c>
      <c r="C92" s="64">
        <v>718.28</v>
      </c>
      <c r="D92" s="64">
        <v>690.1</v>
      </c>
      <c r="E92" s="65">
        <v>1459.32</v>
      </c>
      <c r="F92" s="5">
        <f t="shared" si="5"/>
        <v>-9.8392915710066031E-4</v>
      </c>
      <c r="G92" s="5">
        <f t="shared" si="6"/>
        <v>1.169047015408875E-2</v>
      </c>
      <c r="H92" s="5">
        <f t="shared" si="7"/>
        <v>3.0377465443816032E-3</v>
      </c>
      <c r="I92" s="5">
        <f t="shared" si="8"/>
        <v>-1.2797788104217389E-3</v>
      </c>
    </row>
    <row r="93" spans="1:9" x14ac:dyDescent="0.25">
      <c r="A93" s="2">
        <v>41169</v>
      </c>
      <c r="B93" s="64">
        <v>30.49</v>
      </c>
      <c r="C93" s="64">
        <v>709.98</v>
      </c>
      <c r="D93" s="64">
        <v>688.01</v>
      </c>
      <c r="E93" s="65">
        <v>1461.19</v>
      </c>
      <c r="F93" s="5">
        <f t="shared" si="5"/>
        <v>0</v>
      </c>
      <c r="G93" s="5">
        <f t="shared" si="6"/>
        <v>4.2272573554291704E-4</v>
      </c>
      <c r="H93" s="5">
        <f t="shared" si="7"/>
        <v>1.2300448760391491E-2</v>
      </c>
      <c r="I93" s="5">
        <f t="shared" si="8"/>
        <v>-3.1246375625098022E-3</v>
      </c>
    </row>
    <row r="94" spans="1:9" x14ac:dyDescent="0.25">
      <c r="A94" s="2">
        <v>41166</v>
      </c>
      <c r="B94" s="64">
        <v>30.49</v>
      </c>
      <c r="C94" s="64">
        <v>709.68</v>
      </c>
      <c r="D94" s="64">
        <v>679.65</v>
      </c>
      <c r="E94" s="65">
        <v>1465.77</v>
      </c>
      <c r="F94" s="5">
        <f t="shared" si="5"/>
        <v>8.9344804765056907E-3</v>
      </c>
      <c r="G94" s="5">
        <f t="shared" si="6"/>
        <v>5.1555152682567496E-3</v>
      </c>
      <c r="H94" s="5">
        <f t="shared" si="7"/>
        <v>1.2152079703346308E-2</v>
      </c>
      <c r="I94" s="5">
        <f t="shared" si="8"/>
        <v>3.9589312255563502E-3</v>
      </c>
    </row>
    <row r="95" spans="1:9" x14ac:dyDescent="0.25">
      <c r="A95" s="2">
        <v>41165</v>
      </c>
      <c r="B95" s="64">
        <v>30.22</v>
      </c>
      <c r="C95" s="64">
        <v>706.04</v>
      </c>
      <c r="D95" s="64">
        <v>671.49</v>
      </c>
      <c r="E95" s="65">
        <v>1459.99</v>
      </c>
      <c r="F95" s="5">
        <f t="shared" si="5"/>
        <v>4.9883604921847624E-3</v>
      </c>
      <c r="G95" s="5">
        <f t="shared" si="6"/>
        <v>2.1943029180175877E-2</v>
      </c>
      <c r="H95" s="5">
        <f t="shared" si="7"/>
        <v>1.969568122456411E-2</v>
      </c>
      <c r="I95" s="5">
        <f t="shared" si="8"/>
        <v>1.6309795622876821E-2</v>
      </c>
    </row>
    <row r="96" spans="1:9" x14ac:dyDescent="0.25">
      <c r="A96" s="2">
        <v>41164</v>
      </c>
      <c r="B96" s="64">
        <v>30.07</v>
      </c>
      <c r="C96" s="64">
        <v>690.88</v>
      </c>
      <c r="D96" s="64">
        <v>658.52</v>
      </c>
      <c r="E96" s="65">
        <v>1436.56</v>
      </c>
      <c r="F96" s="5">
        <f t="shared" si="5"/>
        <v>-3.3244680851052255E-4</v>
      </c>
      <c r="G96" s="5">
        <f t="shared" si="6"/>
        <v>-1.8925439546946254E-3</v>
      </c>
      <c r="H96" s="5">
        <f t="shared" si="7"/>
        <v>1.3918827369587827E-2</v>
      </c>
      <c r="I96" s="5">
        <f t="shared" si="8"/>
        <v>2.0926923184241275E-3</v>
      </c>
    </row>
    <row r="97" spans="1:9" x14ac:dyDescent="0.25">
      <c r="A97" s="2">
        <v>41163</v>
      </c>
      <c r="B97" s="64">
        <v>30.08</v>
      </c>
      <c r="C97" s="64">
        <v>692.19</v>
      </c>
      <c r="D97" s="64">
        <v>649.48</v>
      </c>
      <c r="E97" s="65">
        <v>1433.56</v>
      </c>
      <c r="F97" s="5">
        <f t="shared" si="5"/>
        <v>2.3325558147282432E-3</v>
      </c>
      <c r="G97" s="5">
        <f t="shared" si="6"/>
        <v>-1.224367481484645E-2</v>
      </c>
      <c r="H97" s="5">
        <f t="shared" si="7"/>
        <v>-3.2382326309489118E-3</v>
      </c>
      <c r="I97" s="5">
        <f t="shared" si="8"/>
        <v>3.134883981302572E-3</v>
      </c>
    </row>
    <row r="98" spans="1:9" x14ac:dyDescent="0.25">
      <c r="A98" s="2">
        <v>41162</v>
      </c>
      <c r="B98" s="64">
        <v>30.01</v>
      </c>
      <c r="C98" s="64">
        <v>700.77</v>
      </c>
      <c r="D98" s="64">
        <v>651.59</v>
      </c>
      <c r="E98" s="65">
        <v>1429.08</v>
      </c>
      <c r="F98" s="5">
        <f t="shared" si="5"/>
        <v>-7.2775388686734388E-3</v>
      </c>
      <c r="G98" s="5">
        <f t="shared" si="6"/>
        <v>-7.6187778800538286E-3</v>
      </c>
      <c r="H98" s="5">
        <f t="shared" si="7"/>
        <v>-2.6009357389497612E-2</v>
      </c>
      <c r="I98" s="5">
        <f t="shared" si="8"/>
        <v>-6.1477689996662921E-3</v>
      </c>
    </row>
    <row r="99" spans="1:9" x14ac:dyDescent="0.25">
      <c r="A99" s="2">
        <v>41159</v>
      </c>
      <c r="B99" s="64">
        <v>30.23</v>
      </c>
      <c r="C99" s="64">
        <v>706.15</v>
      </c>
      <c r="D99" s="64">
        <v>668.99</v>
      </c>
      <c r="E99" s="65">
        <v>1437.92</v>
      </c>
      <c r="F99" s="5">
        <f t="shared" si="5"/>
        <v>-1.2736773350751185E-2</v>
      </c>
      <c r="G99" s="5">
        <f t="shared" si="6"/>
        <v>9.6511295396053409E-3</v>
      </c>
      <c r="H99" s="5">
        <f t="shared" si="7"/>
        <v>6.1664335453985863E-3</v>
      </c>
      <c r="I99" s="5">
        <f t="shared" si="8"/>
        <v>4.04993994916647E-3</v>
      </c>
    </row>
    <row r="100" spans="1:9" x14ac:dyDescent="0.25">
      <c r="A100" s="2">
        <v>41158</v>
      </c>
      <c r="B100" s="64">
        <v>30.62</v>
      </c>
      <c r="C100" s="64">
        <v>699.4</v>
      </c>
      <c r="D100" s="64">
        <v>664.89</v>
      </c>
      <c r="E100" s="65">
        <v>1432.12</v>
      </c>
      <c r="F100" s="5">
        <f t="shared" si="5"/>
        <v>3.1323678006062616E-2</v>
      </c>
      <c r="G100" s="5">
        <f t="shared" si="6"/>
        <v>2.744153249500525E-2</v>
      </c>
      <c r="H100" s="5">
        <f t="shared" si="7"/>
        <v>8.9990287726113838E-3</v>
      </c>
      <c r="I100" s="5">
        <f t="shared" si="8"/>
        <v>2.043550133956562E-2</v>
      </c>
    </row>
    <row r="101" spans="1:9" x14ac:dyDescent="0.25">
      <c r="A101" s="2">
        <v>41157</v>
      </c>
      <c r="B101" s="64">
        <v>29.69</v>
      </c>
      <c r="C101" s="64">
        <v>680.72</v>
      </c>
      <c r="D101" s="64">
        <v>658.96</v>
      </c>
      <c r="E101" s="65">
        <v>1403.44</v>
      </c>
      <c r="F101" s="5">
        <f t="shared" si="5"/>
        <v>0</v>
      </c>
      <c r="G101" s="5">
        <f t="shared" si="6"/>
        <v>-4.698696111827827E-4</v>
      </c>
      <c r="H101" s="5">
        <f t="shared" si="7"/>
        <v>-7.0220909556673039E-3</v>
      </c>
      <c r="I101" s="5">
        <f t="shared" si="8"/>
        <v>-1.0676612524378459E-3</v>
      </c>
    </row>
    <row r="102" spans="1:9" x14ac:dyDescent="0.25">
      <c r="A102" s="2">
        <v>41156</v>
      </c>
      <c r="B102" s="64">
        <v>29.69</v>
      </c>
      <c r="C102" s="64">
        <v>681.04</v>
      </c>
      <c r="D102" s="64">
        <v>663.62</v>
      </c>
      <c r="E102" s="65">
        <v>1404.94</v>
      </c>
      <c r="F102" s="5">
        <f t="shared" si="5"/>
        <v>-1.3948854201262018E-2</v>
      </c>
      <c r="G102" s="5">
        <f t="shared" si="6"/>
        <v>-5.9116320483441065E-3</v>
      </c>
      <c r="H102" s="5">
        <f t="shared" si="7"/>
        <v>1.463190887546828E-2</v>
      </c>
      <c r="I102" s="5">
        <f t="shared" si="8"/>
        <v>-1.1659486129476093E-3</v>
      </c>
    </row>
    <row r="103" spans="1:9" x14ac:dyDescent="0.25">
      <c r="A103" s="2">
        <v>41152</v>
      </c>
      <c r="B103" s="64">
        <v>30.11</v>
      </c>
      <c r="C103" s="64">
        <v>685.09</v>
      </c>
      <c r="D103" s="64">
        <v>654.04999999999995</v>
      </c>
      <c r="E103" s="65">
        <v>1406.58</v>
      </c>
      <c r="F103" s="5">
        <f t="shared" si="5"/>
        <v>1.6542876434841203E-2</v>
      </c>
      <c r="G103" s="5">
        <f t="shared" si="6"/>
        <v>5.0023471423543686E-3</v>
      </c>
      <c r="H103" s="5">
        <f t="shared" si="7"/>
        <v>2.0683315458862594E-3</v>
      </c>
      <c r="I103" s="5">
        <f t="shared" si="8"/>
        <v>5.0733129448079506E-3</v>
      </c>
    </row>
    <row r="104" spans="1:9" x14ac:dyDescent="0.25">
      <c r="A104" s="2">
        <v>41151</v>
      </c>
      <c r="B104" s="64">
        <v>29.62</v>
      </c>
      <c r="C104" s="64">
        <v>681.68</v>
      </c>
      <c r="D104" s="64">
        <v>652.70000000000005</v>
      </c>
      <c r="E104" s="65">
        <v>1399.48</v>
      </c>
      <c r="F104" s="5">
        <f t="shared" si="5"/>
        <v>-1.0688042752171056E-2</v>
      </c>
      <c r="G104" s="5">
        <f t="shared" si="6"/>
        <v>-9.2004476679118374E-3</v>
      </c>
      <c r="H104" s="5">
        <f t="shared" si="7"/>
        <v>-1.4256803697103249E-2</v>
      </c>
      <c r="I104" s="5">
        <f t="shared" si="8"/>
        <v>-7.8057979850973958E-3</v>
      </c>
    </row>
    <row r="105" spans="1:9" x14ac:dyDescent="0.25">
      <c r="A105" s="2">
        <v>41150</v>
      </c>
      <c r="B105" s="64">
        <v>29.94</v>
      </c>
      <c r="C105" s="64">
        <v>688.01</v>
      </c>
      <c r="D105" s="64">
        <v>662.14</v>
      </c>
      <c r="E105" s="65">
        <v>1410.49</v>
      </c>
      <c r="F105" s="5">
        <f t="shared" si="5"/>
        <v>6.6844919786102075E-4</v>
      </c>
      <c r="G105" s="5">
        <f t="shared" si="6"/>
        <v>1.5887781469176909E-2</v>
      </c>
      <c r="H105" s="5">
        <f t="shared" si="7"/>
        <v>-1.974527093224876E-3</v>
      </c>
      <c r="I105" s="5">
        <f t="shared" si="8"/>
        <v>8.4439083232812351E-4</v>
      </c>
    </row>
    <row r="106" spans="1:9" x14ac:dyDescent="0.25">
      <c r="A106" s="2">
        <v>41149</v>
      </c>
      <c r="B106" s="64">
        <v>29.92</v>
      </c>
      <c r="C106" s="64">
        <v>677.25</v>
      </c>
      <c r="D106" s="64">
        <v>663.45</v>
      </c>
      <c r="E106" s="65">
        <v>1409.3</v>
      </c>
      <c r="F106" s="5">
        <f t="shared" si="5"/>
        <v>-2.001334222815121E-3</v>
      </c>
      <c r="G106" s="5">
        <f t="shared" si="6"/>
        <v>1.1999043662771491E-2</v>
      </c>
      <c r="H106" s="5">
        <f t="shared" si="7"/>
        <v>-1.2945763273168875E-3</v>
      </c>
      <c r="I106" s="5">
        <f t="shared" si="8"/>
        <v>-8.082584158135564E-4</v>
      </c>
    </row>
    <row r="107" spans="1:9" x14ac:dyDescent="0.25">
      <c r="A107" s="2">
        <v>41148</v>
      </c>
      <c r="B107" s="64">
        <v>29.98</v>
      </c>
      <c r="C107" s="64">
        <v>669.22</v>
      </c>
      <c r="D107" s="64">
        <v>664.31</v>
      </c>
      <c r="E107" s="65">
        <v>1410.44</v>
      </c>
      <c r="F107" s="5">
        <f t="shared" si="5"/>
        <v>4.3551088777218361E-3</v>
      </c>
      <c r="G107" s="5">
        <f t="shared" si="6"/>
        <v>-1.3866171551508155E-2</v>
      </c>
      <c r="H107" s="5">
        <f t="shared" si="7"/>
        <v>1.8786614728705908E-2</v>
      </c>
      <c r="I107" s="5">
        <f t="shared" si="8"/>
        <v>-4.8896983268731375E-4</v>
      </c>
    </row>
    <row r="108" spans="1:9" x14ac:dyDescent="0.25">
      <c r="A108" s="2">
        <v>41145</v>
      </c>
      <c r="B108" s="64">
        <v>29.85</v>
      </c>
      <c r="C108" s="64">
        <v>678.63</v>
      </c>
      <c r="D108" s="64">
        <v>652.05999999999995</v>
      </c>
      <c r="E108" s="65">
        <v>1411.13</v>
      </c>
      <c r="F108" s="5">
        <f t="shared" si="5"/>
        <v>9.8105548037890067E-3</v>
      </c>
      <c r="G108" s="5">
        <f t="shared" si="6"/>
        <v>2.7039007092199974E-3</v>
      </c>
      <c r="H108" s="5">
        <f t="shared" si="7"/>
        <v>8.902805918828971E-4</v>
      </c>
      <c r="I108" s="5">
        <f t="shared" si="8"/>
        <v>6.4546958804063692E-3</v>
      </c>
    </row>
    <row r="109" spans="1:9" x14ac:dyDescent="0.25">
      <c r="A109" s="2">
        <v>41144</v>
      </c>
      <c r="B109" s="64">
        <v>29.56</v>
      </c>
      <c r="C109" s="64">
        <v>676.8</v>
      </c>
      <c r="D109" s="64">
        <v>651.48</v>
      </c>
      <c r="E109" s="65">
        <v>1402.08</v>
      </c>
      <c r="F109" s="5">
        <f t="shared" si="5"/>
        <v>-9.0512906469996102E-3</v>
      </c>
      <c r="G109" s="5">
        <f t="shared" si="6"/>
        <v>-5.6115065418349541E-4</v>
      </c>
      <c r="H109" s="5">
        <f t="shared" si="7"/>
        <v>-9.3366990055047117E-3</v>
      </c>
      <c r="I109" s="5">
        <f t="shared" si="8"/>
        <v>-8.0722184097518079E-3</v>
      </c>
    </row>
    <row r="110" spans="1:9" x14ac:dyDescent="0.25">
      <c r="A110" s="2">
        <v>41143</v>
      </c>
      <c r="B110" s="64">
        <v>29.83</v>
      </c>
      <c r="C110" s="64">
        <v>677.18</v>
      </c>
      <c r="D110" s="64">
        <v>657.62</v>
      </c>
      <c r="E110" s="65">
        <v>1413.49</v>
      </c>
      <c r="F110" s="5">
        <f t="shared" si="5"/>
        <v>-8.6407444333665984E-3</v>
      </c>
      <c r="G110" s="5">
        <f t="shared" si="6"/>
        <v>1.1456139564756329E-2</v>
      </c>
      <c r="H110" s="5">
        <f t="shared" si="7"/>
        <v>1.9534278006883454E-2</v>
      </c>
      <c r="I110" s="5">
        <f t="shared" si="8"/>
        <v>2.2644126325910285E-4</v>
      </c>
    </row>
    <row r="111" spans="1:9" x14ac:dyDescent="0.25">
      <c r="A111" s="2">
        <v>41142</v>
      </c>
      <c r="B111" s="64">
        <v>30.09</v>
      </c>
      <c r="C111" s="64">
        <v>669.51</v>
      </c>
      <c r="D111" s="64">
        <v>645.02</v>
      </c>
      <c r="E111" s="65">
        <v>1413.17</v>
      </c>
      <c r="F111" s="5">
        <f t="shared" si="5"/>
        <v>1.9980019980019303E-3</v>
      </c>
      <c r="G111" s="5">
        <f t="shared" si="6"/>
        <v>-8.9261923794297093E-3</v>
      </c>
      <c r="H111" s="5">
        <f t="shared" si="7"/>
        <v>-1.367056089057439E-2</v>
      </c>
      <c r="I111" s="5">
        <f t="shared" si="8"/>
        <v>-3.4975636930324461E-3</v>
      </c>
    </row>
    <row r="112" spans="1:9" x14ac:dyDescent="0.25">
      <c r="A112" s="2">
        <v>41141</v>
      </c>
      <c r="B112" s="64">
        <v>30.03</v>
      </c>
      <c r="C112" s="64">
        <v>675.54</v>
      </c>
      <c r="D112" s="64">
        <v>653.96</v>
      </c>
      <c r="E112" s="65">
        <v>1418.13</v>
      </c>
      <c r="F112" s="5">
        <f t="shared" si="5"/>
        <v>-4.9701789264413598E-3</v>
      </c>
      <c r="G112" s="5">
        <f t="shared" si="6"/>
        <v>-2.3628791682666073E-3</v>
      </c>
      <c r="H112" s="5">
        <f t="shared" si="7"/>
        <v>2.6286467569561101E-2</v>
      </c>
      <c r="I112" s="5">
        <f t="shared" si="8"/>
        <v>-2.1154171602644212E-5</v>
      </c>
    </row>
    <row r="113" spans="1:9" x14ac:dyDescent="0.25">
      <c r="A113" s="2">
        <v>41138</v>
      </c>
      <c r="B113" s="64">
        <v>30.18</v>
      </c>
      <c r="C113" s="64">
        <v>677.14</v>
      </c>
      <c r="D113" s="64">
        <v>637.21</v>
      </c>
      <c r="E113" s="65">
        <v>1418.16</v>
      </c>
      <c r="F113" s="5">
        <f t="shared" si="5"/>
        <v>3.6581310276022627E-3</v>
      </c>
      <c r="G113" s="5">
        <f t="shared" si="6"/>
        <v>6.3459509266277081E-3</v>
      </c>
      <c r="H113" s="5">
        <f t="shared" si="7"/>
        <v>1.8493063103382168E-2</v>
      </c>
      <c r="I113" s="5">
        <f t="shared" si="8"/>
        <v>1.8721167635693536E-3</v>
      </c>
    </row>
    <row r="114" spans="1:9" x14ac:dyDescent="0.25">
      <c r="A114" s="2">
        <v>41137</v>
      </c>
      <c r="B114" s="64">
        <v>30.07</v>
      </c>
      <c r="C114" s="64">
        <v>672.87</v>
      </c>
      <c r="D114" s="64">
        <v>625.64</v>
      </c>
      <c r="E114" s="65">
        <v>1415.51</v>
      </c>
      <c r="F114" s="5">
        <f t="shared" si="5"/>
        <v>1.9322033898305113E-2</v>
      </c>
      <c r="G114" s="5">
        <f t="shared" si="6"/>
        <v>7.9845402522695785E-3</v>
      </c>
      <c r="H114" s="5">
        <f t="shared" si="7"/>
        <v>8.738834607074919E-3</v>
      </c>
      <c r="I114" s="5">
        <f t="shared" si="8"/>
        <v>7.1005243573598609E-3</v>
      </c>
    </row>
    <row r="115" spans="1:9" x14ac:dyDescent="0.25">
      <c r="A115" s="2">
        <v>41136</v>
      </c>
      <c r="B115" s="64">
        <v>29.5</v>
      </c>
      <c r="C115" s="64">
        <v>667.54</v>
      </c>
      <c r="D115" s="64">
        <v>620.22</v>
      </c>
      <c r="E115" s="65">
        <v>1405.53</v>
      </c>
      <c r="F115" s="5">
        <f t="shared" si="5"/>
        <v>2.3785253143051577E-3</v>
      </c>
      <c r="G115" s="5">
        <f t="shared" si="6"/>
        <v>-1.6749917745939591E-3</v>
      </c>
      <c r="H115" s="5">
        <f t="shared" si="7"/>
        <v>-1.352526325958725E-3</v>
      </c>
      <c r="I115" s="5">
        <f t="shared" si="8"/>
        <v>1.1396579601545831E-3</v>
      </c>
    </row>
    <row r="116" spans="1:9" x14ac:dyDescent="0.25">
      <c r="A116" s="2">
        <v>41135</v>
      </c>
      <c r="B116" s="64">
        <v>29.43</v>
      </c>
      <c r="C116" s="64">
        <v>668.66</v>
      </c>
      <c r="D116" s="64">
        <v>621.05999999999995</v>
      </c>
      <c r="E116" s="65">
        <v>1403.93</v>
      </c>
      <c r="F116" s="5">
        <f t="shared" si="5"/>
        <v>-2.0345879959308144E-3</v>
      </c>
      <c r="G116" s="5">
        <f t="shared" si="6"/>
        <v>1.3105862032393389E-2</v>
      </c>
      <c r="H116" s="5">
        <f t="shared" si="7"/>
        <v>2.6800129157249497E-3</v>
      </c>
      <c r="I116" s="5">
        <f t="shared" si="8"/>
        <v>-1.2819508443062677E-4</v>
      </c>
    </row>
    <row r="117" spans="1:9" x14ac:dyDescent="0.25">
      <c r="A117" s="2">
        <v>41134</v>
      </c>
      <c r="B117" s="64">
        <v>29.49</v>
      </c>
      <c r="C117" s="64">
        <v>660.01</v>
      </c>
      <c r="D117" s="64">
        <v>619.4</v>
      </c>
      <c r="E117" s="65">
        <v>1404.11</v>
      </c>
      <c r="F117" s="5">
        <f t="shared" si="5"/>
        <v>-1.0162601626017009E-3</v>
      </c>
      <c r="G117" s="5">
        <f t="shared" si="6"/>
        <v>2.8052959501557728E-2</v>
      </c>
      <c r="H117" s="5">
        <f t="shared" si="7"/>
        <v>1.3349911654996438E-2</v>
      </c>
      <c r="I117" s="5">
        <f t="shared" si="8"/>
        <v>-1.2518938450923889E-3</v>
      </c>
    </row>
    <row r="118" spans="1:9" x14ac:dyDescent="0.25">
      <c r="A118" s="2">
        <v>41131</v>
      </c>
      <c r="B118" s="64">
        <v>29.52</v>
      </c>
      <c r="C118" s="64">
        <v>642</v>
      </c>
      <c r="D118" s="64">
        <v>611.24</v>
      </c>
      <c r="E118" s="65">
        <v>1405.87</v>
      </c>
      <c r="F118" s="5">
        <f t="shared" si="5"/>
        <v>-2.7027027027027861E-3</v>
      </c>
      <c r="G118" s="5">
        <f t="shared" si="6"/>
        <v>-5.4487428971750074E-4</v>
      </c>
      <c r="H118" s="5">
        <f t="shared" si="7"/>
        <v>1.5566370086352865E-3</v>
      </c>
      <c r="I118" s="5">
        <f t="shared" si="8"/>
        <v>2.1884801824920697E-3</v>
      </c>
    </row>
    <row r="119" spans="1:9" x14ac:dyDescent="0.25">
      <c r="A119" s="2">
        <v>41130</v>
      </c>
      <c r="B119" s="64">
        <v>29.6</v>
      </c>
      <c r="C119" s="64">
        <v>642.35</v>
      </c>
      <c r="D119" s="64">
        <v>610.29</v>
      </c>
      <c r="E119" s="65">
        <v>1402.8</v>
      </c>
      <c r="F119" s="5">
        <f t="shared" si="5"/>
        <v>5.7764186204554147E-3</v>
      </c>
      <c r="G119" s="5">
        <f t="shared" si="6"/>
        <v>1.8684894819620546E-4</v>
      </c>
      <c r="H119" s="5">
        <f t="shared" si="7"/>
        <v>5.7017616136314508E-3</v>
      </c>
      <c r="I119" s="5">
        <f t="shared" si="8"/>
        <v>4.136298155781315E-4</v>
      </c>
    </row>
    <row r="120" spans="1:9" x14ac:dyDescent="0.25">
      <c r="A120" s="2">
        <v>41129</v>
      </c>
      <c r="B120" s="64">
        <v>29.43</v>
      </c>
      <c r="C120" s="64">
        <v>642.23</v>
      </c>
      <c r="D120" s="64">
        <v>606.83000000000004</v>
      </c>
      <c r="E120" s="65">
        <v>1402.22</v>
      </c>
      <c r="F120" s="5">
        <f t="shared" si="5"/>
        <v>2.0429009193054792E-3</v>
      </c>
      <c r="G120" s="5">
        <f t="shared" si="6"/>
        <v>2.6383988509695033E-3</v>
      </c>
      <c r="H120" s="5">
        <f t="shared" si="7"/>
        <v>-1.6944691211792096E-3</v>
      </c>
      <c r="I120" s="5">
        <f t="shared" si="8"/>
        <v>6.2082991401157805E-4</v>
      </c>
    </row>
    <row r="121" spans="1:9" x14ac:dyDescent="0.25">
      <c r="A121" s="2">
        <v>41128</v>
      </c>
      <c r="B121" s="64">
        <v>29.37</v>
      </c>
      <c r="C121" s="64">
        <v>640.54</v>
      </c>
      <c r="D121" s="64">
        <v>607.86</v>
      </c>
      <c r="E121" s="65">
        <v>1401.35</v>
      </c>
      <c r="F121" s="5">
        <f t="shared" si="5"/>
        <v>1.0667584308327704E-2</v>
      </c>
      <c r="G121" s="5">
        <f t="shared" si="6"/>
        <v>-3.5468715970257136E-3</v>
      </c>
      <c r="H121" s="5">
        <f t="shared" si="7"/>
        <v>-2.6252748334592013E-3</v>
      </c>
      <c r="I121" s="5">
        <f t="shared" si="8"/>
        <v>5.1067614382132032E-3</v>
      </c>
    </row>
    <row r="122" spans="1:9" x14ac:dyDescent="0.25">
      <c r="A122" s="2">
        <v>41127</v>
      </c>
      <c r="B122" s="64">
        <v>29.06</v>
      </c>
      <c r="C122" s="64">
        <v>642.82000000000005</v>
      </c>
      <c r="D122" s="64">
        <v>609.46</v>
      </c>
      <c r="E122" s="65">
        <v>1394.23</v>
      </c>
      <c r="F122" s="5">
        <f t="shared" si="5"/>
        <v>6.5812261863524846E-3</v>
      </c>
      <c r="G122" s="5">
        <f t="shared" si="6"/>
        <v>2.323296898632643E-3</v>
      </c>
      <c r="H122" s="5">
        <f t="shared" si="7"/>
        <v>1.113231024471184E-2</v>
      </c>
      <c r="I122" s="5">
        <f t="shared" si="8"/>
        <v>2.3292762708575498E-3</v>
      </c>
    </row>
    <row r="123" spans="1:9" x14ac:dyDescent="0.25">
      <c r="A123" s="2">
        <v>41124</v>
      </c>
      <c r="B123" s="64">
        <v>28.87</v>
      </c>
      <c r="C123" s="64">
        <v>641.33000000000004</v>
      </c>
      <c r="D123" s="64">
        <v>602.75</v>
      </c>
      <c r="E123" s="65">
        <v>1390.99</v>
      </c>
      <c r="F123" s="5">
        <f t="shared" si="5"/>
        <v>1.9061066007765692E-2</v>
      </c>
      <c r="G123" s="5">
        <f t="shared" si="6"/>
        <v>2.0007952286282382E-2</v>
      </c>
      <c r="H123" s="5">
        <f t="shared" si="7"/>
        <v>1.3008184736390982E-2</v>
      </c>
      <c r="I123" s="5">
        <f t="shared" si="8"/>
        <v>1.9040293040293088E-2</v>
      </c>
    </row>
    <row r="124" spans="1:9" x14ac:dyDescent="0.25">
      <c r="A124" s="2">
        <v>41123</v>
      </c>
      <c r="B124" s="64">
        <v>28.33</v>
      </c>
      <c r="C124" s="64">
        <v>628.75</v>
      </c>
      <c r="D124" s="64">
        <v>595.01</v>
      </c>
      <c r="E124" s="65">
        <v>1365</v>
      </c>
      <c r="F124" s="5">
        <f t="shared" si="5"/>
        <v>-7.3580939032936721E-3</v>
      </c>
      <c r="G124" s="5">
        <f t="shared" si="6"/>
        <v>-6.2116709869127762E-3</v>
      </c>
      <c r="H124" s="5">
        <f t="shared" si="7"/>
        <v>1.6160255870718565E-3</v>
      </c>
      <c r="I124" s="5">
        <f t="shared" si="8"/>
        <v>-7.5037082279032497E-3</v>
      </c>
    </row>
    <row r="125" spans="1:9" x14ac:dyDescent="0.25">
      <c r="A125" s="2">
        <v>41122</v>
      </c>
      <c r="B125" s="64">
        <v>28.54</v>
      </c>
      <c r="C125" s="64">
        <v>632.67999999999995</v>
      </c>
      <c r="D125" s="64">
        <v>594.04999999999995</v>
      </c>
      <c r="E125" s="65">
        <v>1375.32</v>
      </c>
      <c r="F125" s="5">
        <f t="shared" si="5"/>
        <v>-2.0979020979021712E-3</v>
      </c>
      <c r="G125" s="5">
        <f t="shared" si="6"/>
        <v>-4.5815757460876405E-4</v>
      </c>
      <c r="H125" s="5">
        <f t="shared" si="7"/>
        <v>-6.4724377843189407E-3</v>
      </c>
      <c r="I125" s="5">
        <f t="shared" si="8"/>
        <v>-2.8999797001421079E-3</v>
      </c>
    </row>
    <row r="126" spans="1:9" x14ac:dyDescent="0.25">
      <c r="A126" s="2">
        <v>41121</v>
      </c>
      <c r="B126" s="64">
        <v>28.6</v>
      </c>
      <c r="C126" s="64">
        <v>632.97</v>
      </c>
      <c r="D126" s="64">
        <v>597.91999999999996</v>
      </c>
      <c r="E126" s="65">
        <v>1379.32</v>
      </c>
      <c r="F126" s="5">
        <f t="shared" si="5"/>
        <v>-5.5632823365785455E-3</v>
      </c>
      <c r="G126" s="5">
        <f t="shared" si="6"/>
        <v>1.0596235963942213E-3</v>
      </c>
      <c r="H126" s="5">
        <f t="shared" si="7"/>
        <v>2.6436860536977136E-2</v>
      </c>
      <c r="I126" s="5">
        <f t="shared" si="8"/>
        <v>-4.3167544936114632E-3</v>
      </c>
    </row>
    <row r="127" spans="1:9" x14ac:dyDescent="0.25">
      <c r="A127" s="2">
        <v>41120</v>
      </c>
      <c r="B127" s="64">
        <v>28.76</v>
      </c>
      <c r="C127" s="64">
        <v>632.29999999999995</v>
      </c>
      <c r="D127" s="64">
        <v>582.52</v>
      </c>
      <c r="E127" s="65">
        <v>1385.3</v>
      </c>
      <c r="F127" s="5">
        <f t="shared" si="5"/>
        <v>-4.1551246537395725E-3</v>
      </c>
      <c r="G127" s="5">
        <f t="shared" si="6"/>
        <v>-4.1892402671035445E-3</v>
      </c>
      <c r="H127" s="5">
        <f t="shared" si="7"/>
        <v>1.6862758789232934E-2</v>
      </c>
      <c r="I127" s="5">
        <f t="shared" si="8"/>
        <v>-4.834159469542243E-4</v>
      </c>
    </row>
    <row r="128" spans="1:9" x14ac:dyDescent="0.25">
      <c r="A128" s="2">
        <v>41117</v>
      </c>
      <c r="B128" s="64">
        <v>28.88</v>
      </c>
      <c r="C128" s="64">
        <v>634.96</v>
      </c>
      <c r="D128" s="64">
        <v>572.86</v>
      </c>
      <c r="E128" s="65">
        <v>1385.97</v>
      </c>
      <c r="F128" s="5">
        <f t="shared" si="5"/>
        <v>2.0494699646643078E-2</v>
      </c>
      <c r="G128" s="5">
        <f t="shared" si="6"/>
        <v>3.521586017999212E-2</v>
      </c>
      <c r="H128" s="5">
        <f t="shared" si="7"/>
        <v>1.789299738801331E-2</v>
      </c>
      <c r="I128" s="5">
        <f t="shared" si="8"/>
        <v>1.9080601755856463E-2</v>
      </c>
    </row>
    <row r="129" spans="1:9" x14ac:dyDescent="0.25">
      <c r="A129" s="2">
        <v>41116</v>
      </c>
      <c r="B129" s="64">
        <v>28.3</v>
      </c>
      <c r="C129" s="64">
        <v>613.36</v>
      </c>
      <c r="D129" s="64">
        <v>562.79</v>
      </c>
      <c r="E129" s="65">
        <v>1360.02</v>
      </c>
      <c r="F129" s="5">
        <f t="shared" si="5"/>
        <v>1.1436740528949274E-2</v>
      </c>
      <c r="G129" s="5">
        <f t="shared" si="6"/>
        <v>8.8323821115479095E-3</v>
      </c>
      <c r="H129" s="5">
        <f t="shared" si="7"/>
        <v>-1.5989198408195016E-4</v>
      </c>
      <c r="I129" s="5">
        <f t="shared" si="8"/>
        <v>1.6540971230818657E-2</v>
      </c>
    </row>
    <row r="130" spans="1:9" x14ac:dyDescent="0.25">
      <c r="A130" s="2">
        <v>41115</v>
      </c>
      <c r="B130" s="64">
        <v>27.98</v>
      </c>
      <c r="C130" s="64">
        <v>607.99</v>
      </c>
      <c r="D130" s="64">
        <v>562.88</v>
      </c>
      <c r="E130" s="65">
        <v>1337.89</v>
      </c>
      <c r="F130" s="5">
        <f t="shared" si="5"/>
        <v>-1.095793566631309E-2</v>
      </c>
      <c r="G130" s="5">
        <f t="shared" si="6"/>
        <v>6.9127837121651936E-4</v>
      </c>
      <c r="H130" s="5">
        <f t="shared" si="7"/>
        <v>-4.3192983052576017E-2</v>
      </c>
      <c r="I130" s="5">
        <f t="shared" si="8"/>
        <v>-3.138286346211494E-4</v>
      </c>
    </row>
    <row r="131" spans="1:9" x14ac:dyDescent="0.25">
      <c r="A131" s="2">
        <v>41114</v>
      </c>
      <c r="B131" s="64">
        <v>28.29</v>
      </c>
      <c r="C131" s="64">
        <v>607.57000000000005</v>
      </c>
      <c r="D131" s="64">
        <v>588.29</v>
      </c>
      <c r="E131" s="65">
        <v>1338.31</v>
      </c>
      <c r="F131" s="5">
        <f t="shared" si="5"/>
        <v>-4.2238648363253084E-3</v>
      </c>
      <c r="G131" s="5">
        <f t="shared" si="6"/>
        <v>-1.2899871651151029E-2</v>
      </c>
      <c r="H131" s="5">
        <f t="shared" si="7"/>
        <v>-4.8043577554852668E-3</v>
      </c>
      <c r="I131" s="5">
        <f t="shared" si="8"/>
        <v>-9.0409619998222945E-3</v>
      </c>
    </row>
    <row r="132" spans="1:9" x14ac:dyDescent="0.25">
      <c r="A132" s="2">
        <v>41113</v>
      </c>
      <c r="B132" s="64">
        <v>28.41</v>
      </c>
      <c r="C132" s="64">
        <v>615.51</v>
      </c>
      <c r="D132" s="64">
        <v>591.13</v>
      </c>
      <c r="E132" s="65">
        <v>1350.52</v>
      </c>
      <c r="F132" s="5">
        <f t="shared" si="5"/>
        <v>-2.8053369825521757E-2</v>
      </c>
      <c r="G132" s="5">
        <f t="shared" si="6"/>
        <v>7.6782030712811977E-3</v>
      </c>
      <c r="H132" s="5">
        <f t="shared" si="7"/>
        <v>-7.7756554370433939E-4</v>
      </c>
      <c r="I132" s="5">
        <f t="shared" si="8"/>
        <v>-8.909045543275762E-3</v>
      </c>
    </row>
    <row r="133" spans="1:9" x14ac:dyDescent="0.25">
      <c r="A133" s="2">
        <v>41110</v>
      </c>
      <c r="B133" s="64">
        <v>29.23</v>
      </c>
      <c r="C133" s="64">
        <v>610.82000000000005</v>
      </c>
      <c r="D133" s="64">
        <v>591.59</v>
      </c>
      <c r="E133" s="65">
        <v>1362.66</v>
      </c>
      <c r="F133" s="5">
        <f t="shared" si="5"/>
        <v>-1.7809139784946248E-2</v>
      </c>
      <c r="G133" s="5">
        <f t="shared" si="6"/>
        <v>2.994637979293846E-2</v>
      </c>
      <c r="H133" s="5">
        <f t="shared" si="7"/>
        <v>-1.6311938809444593E-2</v>
      </c>
      <c r="I133" s="5">
        <f t="shared" si="8"/>
        <v>-1.0061677721193374E-2</v>
      </c>
    </row>
    <row r="134" spans="1:9" x14ac:dyDescent="0.25">
      <c r="A134" s="2">
        <v>41109</v>
      </c>
      <c r="B134" s="64">
        <v>29.76</v>
      </c>
      <c r="C134" s="64">
        <v>593.05999999999995</v>
      </c>
      <c r="D134" s="64">
        <v>601.4</v>
      </c>
      <c r="E134" s="65">
        <v>1376.51</v>
      </c>
      <c r="F134" s="5">
        <f t="shared" si="5"/>
        <v>7.1065989847716171E-3</v>
      </c>
      <c r="G134" s="5">
        <f t="shared" si="6"/>
        <v>2.1179144569185127E-2</v>
      </c>
      <c r="H134" s="5">
        <f t="shared" si="7"/>
        <v>1.3293794544321003E-2</v>
      </c>
      <c r="I134" s="5">
        <f t="shared" si="8"/>
        <v>2.7171141770714335E-3</v>
      </c>
    </row>
    <row r="135" spans="1:9" x14ac:dyDescent="0.25">
      <c r="A135" s="2">
        <v>41108</v>
      </c>
      <c r="B135" s="64">
        <v>29.55</v>
      </c>
      <c r="C135" s="64">
        <v>580.76</v>
      </c>
      <c r="D135" s="64">
        <v>593.51</v>
      </c>
      <c r="E135" s="65">
        <v>1372.78</v>
      </c>
      <c r="F135" s="5">
        <f t="shared" si="5"/>
        <v>2.6754690757470501E-2</v>
      </c>
      <c r="G135" s="5">
        <f t="shared" si="6"/>
        <v>6.9876718741872512E-3</v>
      </c>
      <c r="H135" s="5">
        <f t="shared" si="7"/>
        <v>-1.1276044296339993E-3</v>
      </c>
      <c r="I135" s="5">
        <f t="shared" si="8"/>
        <v>6.6805018809534822E-3</v>
      </c>
    </row>
    <row r="136" spans="1:9" x14ac:dyDescent="0.25">
      <c r="A136" s="2">
        <v>41107</v>
      </c>
      <c r="B136" s="64">
        <v>28.78</v>
      </c>
      <c r="C136" s="64">
        <v>576.73</v>
      </c>
      <c r="D136" s="64">
        <v>594.17999999999995</v>
      </c>
      <c r="E136" s="65">
        <v>1363.67</v>
      </c>
      <c r="F136" s="5">
        <f t="shared" si="5"/>
        <v>7.3503675183759221E-3</v>
      </c>
      <c r="G136" s="5">
        <f t="shared" si="6"/>
        <v>3.1482641063105277E-3</v>
      </c>
      <c r="H136" s="5">
        <f t="shared" si="7"/>
        <v>5.0492299924265183E-5</v>
      </c>
      <c r="I136" s="5">
        <f t="shared" si="8"/>
        <v>7.4096510150409856E-3</v>
      </c>
    </row>
    <row r="137" spans="1:9" x14ac:dyDescent="0.25">
      <c r="A137" s="2">
        <v>41106</v>
      </c>
      <c r="B137" s="64">
        <v>28.57</v>
      </c>
      <c r="C137" s="64">
        <v>574.91999999999996</v>
      </c>
      <c r="D137" s="64">
        <v>594.15</v>
      </c>
      <c r="E137" s="65">
        <v>1353.64</v>
      </c>
      <c r="F137" s="5">
        <f t="shared" si="5"/>
        <v>1.7531556802243831E-3</v>
      </c>
      <c r="G137" s="5">
        <f t="shared" si="6"/>
        <v>-2.7752723235967558E-3</v>
      </c>
      <c r="H137" s="5">
        <f t="shared" si="7"/>
        <v>3.2081046855212403E-3</v>
      </c>
      <c r="I137" s="5">
        <f t="shared" si="8"/>
        <v>-2.3143029820603678E-3</v>
      </c>
    </row>
    <row r="138" spans="1:9" x14ac:dyDescent="0.25">
      <c r="A138" s="2">
        <v>41103</v>
      </c>
      <c r="B138" s="64">
        <v>28.52</v>
      </c>
      <c r="C138" s="64">
        <v>576.52</v>
      </c>
      <c r="D138" s="64">
        <v>592.25</v>
      </c>
      <c r="E138" s="65">
        <v>1356.78</v>
      </c>
      <c r="F138" s="5">
        <f t="shared" si="5"/>
        <v>2.6637868970482259E-2</v>
      </c>
      <c r="G138" s="5">
        <f t="shared" si="6"/>
        <v>1.058757537512256E-2</v>
      </c>
      <c r="H138" s="5">
        <f t="shared" si="7"/>
        <v>1.0131159284337832E-2</v>
      </c>
      <c r="I138" s="5">
        <f t="shared" si="8"/>
        <v>1.6497347837813425E-2</v>
      </c>
    </row>
    <row r="139" spans="1:9" x14ac:dyDescent="0.25">
      <c r="A139" s="2">
        <v>41102</v>
      </c>
      <c r="B139" s="64">
        <v>27.78</v>
      </c>
      <c r="C139" s="64">
        <v>570.48</v>
      </c>
      <c r="D139" s="64">
        <v>586.30999999999995</v>
      </c>
      <c r="E139" s="65">
        <v>1334.76</v>
      </c>
      <c r="F139" s="5">
        <f t="shared" si="5"/>
        <v>-2.2863172704889134E-2</v>
      </c>
      <c r="G139" s="5">
        <f t="shared" si="6"/>
        <v>-1.2430189604160091E-3</v>
      </c>
      <c r="H139" s="5">
        <f t="shared" si="7"/>
        <v>-9.1428378287029544E-3</v>
      </c>
      <c r="I139" s="5">
        <f t="shared" si="8"/>
        <v>-4.9871407804987777E-3</v>
      </c>
    </row>
    <row r="140" spans="1:9" x14ac:dyDescent="0.25">
      <c r="A140" s="2">
        <v>41101</v>
      </c>
      <c r="B140" s="64">
        <v>28.43</v>
      </c>
      <c r="C140" s="64">
        <v>571.19000000000005</v>
      </c>
      <c r="D140" s="64">
        <v>591.72</v>
      </c>
      <c r="E140" s="65">
        <v>1341.45</v>
      </c>
      <c r="F140" s="5">
        <f t="shared" si="5"/>
        <v>-1.489951489951491E-2</v>
      </c>
      <c r="G140" s="5">
        <f t="shared" si="6"/>
        <v>-1.8067732508165735E-2</v>
      </c>
      <c r="H140" s="5">
        <f t="shared" si="7"/>
        <v>-6.2141009707432637E-3</v>
      </c>
      <c r="I140" s="5">
        <f t="shared" si="8"/>
        <v>-1.4909017719388906E-5</v>
      </c>
    </row>
    <row r="141" spans="1:9" x14ac:dyDescent="0.25">
      <c r="A141" s="2">
        <v>41100</v>
      </c>
      <c r="B141" s="64">
        <v>28.86</v>
      </c>
      <c r="C141" s="64">
        <v>581.70000000000005</v>
      </c>
      <c r="D141" s="64">
        <v>595.41999999999996</v>
      </c>
      <c r="E141" s="65">
        <v>1341.47</v>
      </c>
      <c r="F141" s="5">
        <f t="shared" si="5"/>
        <v>-8.5881140501545827E-3</v>
      </c>
      <c r="G141" s="5">
        <f t="shared" si="6"/>
        <v>-7.3548232965306992E-3</v>
      </c>
      <c r="H141" s="5">
        <f t="shared" si="7"/>
        <v>-9.2515557922061564E-3</v>
      </c>
      <c r="I141" s="5">
        <f t="shared" si="8"/>
        <v>-8.1259334841695674E-3</v>
      </c>
    </row>
    <row r="142" spans="1:9" x14ac:dyDescent="0.25">
      <c r="A142" s="2">
        <v>41099</v>
      </c>
      <c r="B142" s="64">
        <v>29.11</v>
      </c>
      <c r="C142" s="64">
        <v>586.01</v>
      </c>
      <c r="D142" s="64">
        <v>600.98</v>
      </c>
      <c r="E142" s="65">
        <v>1352.46</v>
      </c>
      <c r="F142" s="5">
        <f t="shared" si="5"/>
        <v>-6.4846416382252636E-3</v>
      </c>
      <c r="G142" s="5">
        <f t="shared" si="6"/>
        <v>5.1196286562582571E-5</v>
      </c>
      <c r="H142" s="5">
        <f t="shared" si="7"/>
        <v>1.3217790066426094E-2</v>
      </c>
      <c r="I142" s="5">
        <f t="shared" si="8"/>
        <v>-1.6387633979980665E-3</v>
      </c>
    </row>
    <row r="143" spans="1:9" x14ac:dyDescent="0.25">
      <c r="A143" s="2">
        <v>41096</v>
      </c>
      <c r="B143" s="64">
        <v>29.3</v>
      </c>
      <c r="C143" s="64">
        <v>585.98</v>
      </c>
      <c r="D143" s="64">
        <v>593.14</v>
      </c>
      <c r="E143" s="65">
        <v>1354.68</v>
      </c>
      <c r="F143" s="5">
        <f t="shared" si="5"/>
        <v>-1.6448472641826029E-2</v>
      </c>
      <c r="G143" s="5">
        <f t="shared" si="6"/>
        <v>-1.6680091287420984E-2</v>
      </c>
      <c r="H143" s="5">
        <f t="shared" si="7"/>
        <v>-6.6653269024652406E-3</v>
      </c>
      <c r="I143" s="5">
        <f t="shared" si="8"/>
        <v>-9.4327205721054241E-3</v>
      </c>
    </row>
    <row r="144" spans="1:9" x14ac:dyDescent="0.25">
      <c r="A144" s="2">
        <v>41095</v>
      </c>
      <c r="B144" s="64">
        <v>29.79</v>
      </c>
      <c r="C144" s="64">
        <v>595.91999999999996</v>
      </c>
      <c r="D144" s="64">
        <v>597.12</v>
      </c>
      <c r="E144" s="65">
        <v>1367.58</v>
      </c>
      <c r="F144" s="5">
        <f t="shared" si="5"/>
        <v>-2.0100502512563345E-3</v>
      </c>
      <c r="G144" s="5">
        <f t="shared" si="6"/>
        <v>1.3762482350339278E-2</v>
      </c>
      <c r="H144" s="5">
        <f t="shared" si="7"/>
        <v>1.7569571070704448E-2</v>
      </c>
      <c r="I144" s="5">
        <f t="shared" si="8"/>
        <v>-4.6869768998996086E-3</v>
      </c>
    </row>
    <row r="145" spans="1:9" x14ac:dyDescent="0.25">
      <c r="A145" s="2">
        <v>41093</v>
      </c>
      <c r="B145" s="64">
        <v>29.85</v>
      </c>
      <c r="C145" s="64">
        <v>587.83000000000004</v>
      </c>
      <c r="D145" s="64">
        <v>586.80999999999995</v>
      </c>
      <c r="E145" s="65">
        <v>1374.02</v>
      </c>
      <c r="F145" s="5">
        <f t="shared" si="5"/>
        <v>6.4059339177344743E-3</v>
      </c>
      <c r="G145" s="5">
        <f t="shared" si="6"/>
        <v>1.267938050200712E-2</v>
      </c>
      <c r="H145" s="5">
        <f t="shared" si="7"/>
        <v>1.1636727235113664E-2</v>
      </c>
      <c r="I145" s="5">
        <f t="shared" si="8"/>
        <v>6.2321037561057224E-3</v>
      </c>
    </row>
    <row r="146" spans="1:9" x14ac:dyDescent="0.25">
      <c r="A146" s="2">
        <v>41092</v>
      </c>
      <c r="B146" s="64">
        <v>29.66</v>
      </c>
      <c r="C146" s="64">
        <v>580.47</v>
      </c>
      <c r="D146" s="64">
        <v>580.05999999999995</v>
      </c>
      <c r="E146" s="65">
        <v>1365.51</v>
      </c>
      <c r="F146" s="5">
        <f t="shared" si="5"/>
        <v>-1.0104412260020235E-3</v>
      </c>
      <c r="G146" s="5">
        <f t="shared" si="6"/>
        <v>6.8957194821317458E-4</v>
      </c>
      <c r="H146" s="5">
        <f t="shared" si="7"/>
        <v>1.458756034422426E-2</v>
      </c>
      <c r="I146" s="5">
        <f t="shared" si="8"/>
        <v>2.4593293005226169E-3</v>
      </c>
    </row>
    <row r="147" spans="1:9" x14ac:dyDescent="0.25">
      <c r="A147" s="2">
        <v>41089</v>
      </c>
      <c r="B147" s="64">
        <v>29.69</v>
      </c>
      <c r="C147" s="64">
        <v>580.07000000000005</v>
      </c>
      <c r="D147" s="64">
        <v>571.72</v>
      </c>
      <c r="E147" s="65">
        <v>1362.16</v>
      </c>
      <c r="F147" s="5">
        <f t="shared" si="5"/>
        <v>2.2735101619014708E-2</v>
      </c>
      <c r="G147" s="5">
        <f t="shared" si="6"/>
        <v>2.7927911963282703E-2</v>
      </c>
      <c r="H147" s="5">
        <f t="shared" si="7"/>
        <v>2.6261465831373787E-2</v>
      </c>
      <c r="I147" s="5">
        <f t="shared" si="8"/>
        <v>2.4920243183049529E-2</v>
      </c>
    </row>
    <row r="148" spans="1:9" x14ac:dyDescent="0.25">
      <c r="A148" s="2">
        <v>41088</v>
      </c>
      <c r="B148" s="64">
        <v>29.03</v>
      </c>
      <c r="C148" s="64">
        <v>564.30999999999995</v>
      </c>
      <c r="D148" s="64">
        <v>557.09</v>
      </c>
      <c r="E148" s="65">
        <v>1329.04</v>
      </c>
      <c r="F148" s="5">
        <f t="shared" si="5"/>
        <v>-8.5382513661201864E-3</v>
      </c>
      <c r="G148" s="5">
        <f t="shared" si="6"/>
        <v>-8.7651501844370205E-3</v>
      </c>
      <c r="H148" s="5">
        <f t="shared" si="7"/>
        <v>-9.4769033818141724E-3</v>
      </c>
      <c r="I148" s="5">
        <f t="shared" si="8"/>
        <v>-2.1098472050155026E-3</v>
      </c>
    </row>
    <row r="149" spans="1:9" x14ac:dyDescent="0.25">
      <c r="A149" s="2">
        <v>41087</v>
      </c>
      <c r="B149" s="64">
        <v>29.28</v>
      </c>
      <c r="C149" s="64">
        <v>569.29999999999995</v>
      </c>
      <c r="D149" s="64">
        <v>562.41999999999996</v>
      </c>
      <c r="E149" s="65">
        <v>1331.85</v>
      </c>
      <c r="F149" s="5">
        <f t="shared" si="5"/>
        <v>5.149330587023826E-3</v>
      </c>
      <c r="G149" s="5">
        <f t="shared" si="6"/>
        <v>8.1816249911454975E-3</v>
      </c>
      <c r="H149" s="5">
        <f t="shared" si="7"/>
        <v>4.3214285714285872E-3</v>
      </c>
      <c r="I149" s="5">
        <f t="shared" si="8"/>
        <v>8.9849165523980812E-3</v>
      </c>
    </row>
    <row r="150" spans="1:9" x14ac:dyDescent="0.25">
      <c r="A150" s="2">
        <v>41086</v>
      </c>
      <c r="B150" s="64">
        <v>29.13</v>
      </c>
      <c r="C150" s="64">
        <v>564.67999999999995</v>
      </c>
      <c r="D150" s="64">
        <v>560</v>
      </c>
      <c r="E150" s="65">
        <v>1319.99</v>
      </c>
      <c r="F150" s="5">
        <f t="shared" si="5"/>
        <v>4.8292514660228658E-3</v>
      </c>
      <c r="G150" s="5">
        <f t="shared" si="6"/>
        <v>7.0982700196182691E-3</v>
      </c>
      <c r="H150" s="5">
        <f t="shared" si="7"/>
        <v>2.2012634894501559E-3</v>
      </c>
      <c r="I150" s="5">
        <f t="shared" si="8"/>
        <v>4.7727065128033708E-3</v>
      </c>
    </row>
    <row r="151" spans="1:9" x14ac:dyDescent="0.25">
      <c r="A151" s="2">
        <v>41085</v>
      </c>
      <c r="B151" s="64">
        <v>28.99</v>
      </c>
      <c r="C151" s="64">
        <v>560.70000000000005</v>
      </c>
      <c r="D151" s="64">
        <v>558.77</v>
      </c>
      <c r="E151" s="65">
        <v>1313.72</v>
      </c>
      <c r="F151" s="5">
        <f t="shared" ref="F151:F214" si="9">(B151/B152)-1</f>
        <v>-2.6854649211144666E-2</v>
      </c>
      <c r="G151" s="5">
        <f t="shared" ref="G151:G214" si="10">(C151/C152)-1</f>
        <v>-1.8863302302792651E-2</v>
      </c>
      <c r="H151" s="5">
        <f t="shared" ref="H151:H214" si="11">(D151/D152)-1</f>
        <v>-1.9460920226020528E-2</v>
      </c>
      <c r="I151" s="5">
        <f t="shared" ref="I151:I214" si="12">(E151/E152)-1</f>
        <v>-1.5954817156297207E-2</v>
      </c>
    </row>
    <row r="152" spans="1:9" x14ac:dyDescent="0.25">
      <c r="A152" s="2">
        <v>41082</v>
      </c>
      <c r="B152" s="64">
        <v>29.79</v>
      </c>
      <c r="C152" s="64">
        <v>571.48</v>
      </c>
      <c r="D152" s="64">
        <v>569.86</v>
      </c>
      <c r="E152" s="65">
        <v>1335.02</v>
      </c>
      <c r="F152" s="5">
        <f t="shared" si="9"/>
        <v>1.8461538461538529E-2</v>
      </c>
      <c r="G152" s="5">
        <f t="shared" si="10"/>
        <v>1.1093221988287549E-2</v>
      </c>
      <c r="H152" s="5">
        <f t="shared" si="11"/>
        <v>7.6743528080351897E-3</v>
      </c>
      <c r="I152" s="5">
        <f t="shared" si="12"/>
        <v>7.1745969475900395E-3</v>
      </c>
    </row>
    <row r="153" spans="1:9" x14ac:dyDescent="0.25">
      <c r="A153" s="2">
        <v>41081</v>
      </c>
      <c r="B153" s="64">
        <v>29.25</v>
      </c>
      <c r="C153" s="64">
        <v>565.21</v>
      </c>
      <c r="D153" s="64">
        <v>565.52</v>
      </c>
      <c r="E153" s="65">
        <v>1325.51</v>
      </c>
      <c r="F153" s="5">
        <f t="shared" si="9"/>
        <v>-2.5649566955363023E-2</v>
      </c>
      <c r="G153" s="5">
        <f t="shared" si="10"/>
        <v>-2.1298332496406891E-2</v>
      </c>
      <c r="H153" s="5">
        <f t="shared" si="11"/>
        <v>-1.3776987199609292E-2</v>
      </c>
      <c r="I153" s="5">
        <f t="shared" si="12"/>
        <v>-2.2261726500896306E-2</v>
      </c>
    </row>
    <row r="154" spans="1:9" x14ac:dyDescent="0.25">
      <c r="A154" s="2">
        <v>41080</v>
      </c>
      <c r="B154" s="64">
        <v>30.02</v>
      </c>
      <c r="C154" s="64">
        <v>577.51</v>
      </c>
      <c r="D154" s="64">
        <v>573.41999999999996</v>
      </c>
      <c r="E154" s="65">
        <v>1355.69</v>
      </c>
      <c r="F154" s="5">
        <f t="shared" si="9"/>
        <v>7.7207116482040927E-3</v>
      </c>
      <c r="G154" s="5">
        <f t="shared" si="10"/>
        <v>-6.9127989957525893E-3</v>
      </c>
      <c r="H154" s="5">
        <f t="shared" si="11"/>
        <v>-2.8518763259485214E-3</v>
      </c>
      <c r="I154" s="5">
        <f t="shared" si="12"/>
        <v>-1.6863282228014587E-3</v>
      </c>
    </row>
    <row r="155" spans="1:9" x14ac:dyDescent="0.25">
      <c r="A155" s="2">
        <v>41079</v>
      </c>
      <c r="B155" s="64">
        <v>29.79</v>
      </c>
      <c r="C155" s="64">
        <v>581.53</v>
      </c>
      <c r="D155" s="64">
        <v>575.05999999999995</v>
      </c>
      <c r="E155" s="65">
        <v>1357.98</v>
      </c>
      <c r="F155" s="5">
        <f t="shared" si="9"/>
        <v>2.8660220994475072E-2</v>
      </c>
      <c r="G155" s="5">
        <f t="shared" si="10"/>
        <v>1.8708942804589457E-2</v>
      </c>
      <c r="H155" s="5">
        <f t="shared" si="11"/>
        <v>2.7900812611165726E-3</v>
      </c>
      <c r="I155" s="5">
        <f t="shared" si="12"/>
        <v>9.8157319412841559E-3</v>
      </c>
    </row>
    <row r="156" spans="1:9" x14ac:dyDescent="0.25">
      <c r="A156" s="2">
        <v>41078</v>
      </c>
      <c r="B156" s="64">
        <v>28.96</v>
      </c>
      <c r="C156" s="64">
        <v>570.85</v>
      </c>
      <c r="D156" s="64">
        <v>573.46</v>
      </c>
      <c r="E156" s="65">
        <v>1344.78</v>
      </c>
      <c r="F156" s="5">
        <f t="shared" si="9"/>
        <v>-5.8359079986267659E-3</v>
      </c>
      <c r="G156" s="5">
        <f t="shared" si="10"/>
        <v>1.1230979079201564E-2</v>
      </c>
      <c r="H156" s="5">
        <f t="shared" si="11"/>
        <v>2.0282532114009433E-2</v>
      </c>
      <c r="I156" s="5">
        <f t="shared" si="12"/>
        <v>1.444699294033569E-3</v>
      </c>
    </row>
    <row r="157" spans="1:9" x14ac:dyDescent="0.25">
      <c r="A157" s="2">
        <v>41075</v>
      </c>
      <c r="B157" s="64">
        <v>29.13</v>
      </c>
      <c r="C157" s="64">
        <v>564.51</v>
      </c>
      <c r="D157" s="64">
        <v>562.05999999999995</v>
      </c>
      <c r="E157" s="65">
        <v>1342.84</v>
      </c>
      <c r="F157" s="5">
        <f t="shared" si="9"/>
        <v>2.3182297154899834E-2</v>
      </c>
      <c r="G157" s="5">
        <f t="shared" si="10"/>
        <v>9.7665682854843894E-3</v>
      </c>
      <c r="H157" s="5">
        <f t="shared" si="11"/>
        <v>4.557559292952762E-3</v>
      </c>
      <c r="I157" s="5">
        <f t="shared" si="12"/>
        <v>1.0337822586712786E-2</v>
      </c>
    </row>
    <row r="158" spans="1:9" x14ac:dyDescent="0.25">
      <c r="A158" s="2">
        <v>41074</v>
      </c>
      <c r="B158" s="64">
        <v>28.47</v>
      </c>
      <c r="C158" s="64">
        <v>559.04999999999995</v>
      </c>
      <c r="D158" s="64">
        <v>559.51</v>
      </c>
      <c r="E158" s="65">
        <v>1329.1</v>
      </c>
      <c r="F158" s="5">
        <f t="shared" si="9"/>
        <v>7.0746374248320532E-3</v>
      </c>
      <c r="G158" s="5">
        <f t="shared" si="10"/>
        <v>-3.6357803560926882E-3</v>
      </c>
      <c r="H158" s="5">
        <f t="shared" si="11"/>
        <v>-1.1068859014871091E-3</v>
      </c>
      <c r="I158" s="5">
        <f t="shared" si="12"/>
        <v>1.0814675103431259E-2</v>
      </c>
    </row>
    <row r="159" spans="1:9" x14ac:dyDescent="0.25">
      <c r="A159" s="2">
        <v>41073</v>
      </c>
      <c r="B159" s="64">
        <v>28.27</v>
      </c>
      <c r="C159" s="64">
        <v>561.09</v>
      </c>
      <c r="D159" s="64">
        <v>560.13</v>
      </c>
      <c r="E159" s="65">
        <v>1314.88</v>
      </c>
      <c r="F159" s="5">
        <f t="shared" si="9"/>
        <v>-5.2779732582689531E-3</v>
      </c>
      <c r="G159" s="5">
        <f t="shared" si="10"/>
        <v>-7.0960891877543952E-3</v>
      </c>
      <c r="H159" s="5">
        <f t="shared" si="11"/>
        <v>-6.949738498360003E-3</v>
      </c>
      <c r="I159" s="5">
        <f t="shared" si="12"/>
        <v>-7.0232143666268954E-3</v>
      </c>
    </row>
    <row r="160" spans="1:9" x14ac:dyDescent="0.25">
      <c r="A160" s="2">
        <v>41072</v>
      </c>
      <c r="B160" s="64">
        <v>28.42</v>
      </c>
      <c r="C160" s="64">
        <v>565.1</v>
      </c>
      <c r="D160" s="64">
        <v>564.04999999999995</v>
      </c>
      <c r="E160" s="65">
        <v>1324.18</v>
      </c>
      <c r="F160" s="5">
        <f t="shared" si="9"/>
        <v>1.3190730837789655E-2</v>
      </c>
      <c r="G160" s="5">
        <f t="shared" si="10"/>
        <v>-5.9806508355320087E-3</v>
      </c>
      <c r="H160" s="5">
        <f t="shared" si="11"/>
        <v>8.7452607482652045E-3</v>
      </c>
      <c r="I160" s="5">
        <f t="shared" si="12"/>
        <v>1.1650737625388707E-2</v>
      </c>
    </row>
    <row r="161" spans="1:9" x14ac:dyDescent="0.25">
      <c r="A161" s="2">
        <v>41071</v>
      </c>
      <c r="B161" s="64">
        <v>28.05</v>
      </c>
      <c r="C161" s="64">
        <v>568.5</v>
      </c>
      <c r="D161" s="64">
        <v>559.16</v>
      </c>
      <c r="E161" s="65">
        <v>1308.93</v>
      </c>
      <c r="F161" s="5">
        <f t="shared" si="9"/>
        <v>-2.5026068821689229E-2</v>
      </c>
      <c r="G161" s="5">
        <f t="shared" si="10"/>
        <v>-2.05874752347317E-2</v>
      </c>
      <c r="H161" s="5">
        <f t="shared" si="11"/>
        <v>-1.5771315919172024E-2</v>
      </c>
      <c r="I161" s="5">
        <f t="shared" si="12"/>
        <v>-1.2620128841482781E-2</v>
      </c>
    </row>
    <row r="162" spans="1:9" x14ac:dyDescent="0.25">
      <c r="A162" s="2">
        <v>41068</v>
      </c>
      <c r="B162" s="64">
        <v>28.77</v>
      </c>
      <c r="C162" s="64">
        <v>580.45000000000005</v>
      </c>
      <c r="D162" s="64">
        <v>568.12</v>
      </c>
      <c r="E162" s="65">
        <v>1325.66</v>
      </c>
      <c r="F162" s="5">
        <f t="shared" si="9"/>
        <v>1.4099400775466897E-2</v>
      </c>
      <c r="G162" s="5">
        <f t="shared" si="10"/>
        <v>3.8393026996177415E-3</v>
      </c>
      <c r="H162" s="5">
        <f t="shared" si="11"/>
        <v>1.5043773450062359E-2</v>
      </c>
      <c r="I162" s="5">
        <f t="shared" si="12"/>
        <v>8.1141301454763504E-3</v>
      </c>
    </row>
    <row r="163" spans="1:9" x14ac:dyDescent="0.25">
      <c r="A163" s="2">
        <v>41067</v>
      </c>
      <c r="B163" s="64">
        <v>28.37</v>
      </c>
      <c r="C163" s="64">
        <v>578.23</v>
      </c>
      <c r="D163" s="64">
        <v>559.70000000000005</v>
      </c>
      <c r="E163" s="65">
        <v>1314.99</v>
      </c>
      <c r="F163" s="5">
        <f t="shared" si="9"/>
        <v>-3.8623595505618002E-3</v>
      </c>
      <c r="G163" s="5">
        <f t="shared" si="10"/>
        <v>-4.0305217286460415E-3</v>
      </c>
      <c r="H163" s="5">
        <f t="shared" si="11"/>
        <v>4.6475046475036308E-4</v>
      </c>
      <c r="I163" s="5">
        <f t="shared" si="12"/>
        <v>-1.0645335442127646E-4</v>
      </c>
    </row>
    <row r="164" spans="1:9" x14ac:dyDescent="0.25">
      <c r="A164" s="2">
        <v>41066</v>
      </c>
      <c r="B164" s="64">
        <v>28.48</v>
      </c>
      <c r="C164" s="64">
        <v>580.57000000000005</v>
      </c>
      <c r="D164" s="64">
        <v>559.44000000000005</v>
      </c>
      <c r="E164" s="65">
        <v>1315.13</v>
      </c>
      <c r="F164" s="5">
        <f t="shared" si="9"/>
        <v>2.9273581496205292E-2</v>
      </c>
      <c r="G164" s="5">
        <f t="shared" si="10"/>
        <v>1.7811749443382929E-2</v>
      </c>
      <c r="H164" s="5">
        <f t="shared" si="11"/>
        <v>1.5317604355717052E-2</v>
      </c>
      <c r="I164" s="5">
        <f t="shared" si="12"/>
        <v>2.3049397121742699E-2</v>
      </c>
    </row>
    <row r="165" spans="1:9" x14ac:dyDescent="0.25">
      <c r="A165" s="2">
        <v>41065</v>
      </c>
      <c r="B165" s="64">
        <v>27.67</v>
      </c>
      <c r="C165" s="64">
        <v>570.41</v>
      </c>
      <c r="D165" s="64">
        <v>551</v>
      </c>
      <c r="E165" s="65">
        <v>1285.5</v>
      </c>
      <c r="F165" s="5">
        <f t="shared" si="9"/>
        <v>-1.443522194153668E-3</v>
      </c>
      <c r="G165" s="5">
        <f t="shared" si="10"/>
        <v>-1.4137817798441144E-2</v>
      </c>
      <c r="H165" s="5">
        <f t="shared" si="11"/>
        <v>-2.5885632568831696E-3</v>
      </c>
      <c r="I165" s="5">
        <f t="shared" si="12"/>
        <v>5.7268929258789125E-3</v>
      </c>
    </row>
    <row r="166" spans="1:9" x14ac:dyDescent="0.25">
      <c r="A166" s="2">
        <v>41064</v>
      </c>
      <c r="B166" s="64">
        <v>27.71</v>
      </c>
      <c r="C166" s="64">
        <v>578.59</v>
      </c>
      <c r="D166" s="64">
        <v>552.42999999999995</v>
      </c>
      <c r="E166" s="65">
        <v>1278.18</v>
      </c>
      <c r="F166" s="5">
        <f t="shared" si="9"/>
        <v>3.621876131836288E-3</v>
      </c>
      <c r="G166" s="5">
        <f t="shared" si="10"/>
        <v>1.3327962450523589E-2</v>
      </c>
      <c r="H166" s="5">
        <f t="shared" si="11"/>
        <v>5.8995975891766861E-3</v>
      </c>
      <c r="I166" s="5">
        <f t="shared" si="12"/>
        <v>1.0954273731655917E-4</v>
      </c>
    </row>
    <row r="167" spans="1:9" x14ac:dyDescent="0.25">
      <c r="A167" s="2">
        <v>41061</v>
      </c>
      <c r="B167" s="64">
        <v>27.61</v>
      </c>
      <c r="C167" s="64">
        <v>570.98</v>
      </c>
      <c r="D167" s="64">
        <v>549.19000000000005</v>
      </c>
      <c r="E167" s="65">
        <v>1278.04</v>
      </c>
      <c r="F167" s="5">
        <f t="shared" si="9"/>
        <v>-2.5414754677020812E-2</v>
      </c>
      <c r="G167" s="5">
        <f t="shared" si="10"/>
        <v>-1.7009262128568015E-2</v>
      </c>
      <c r="H167" s="5">
        <f t="shared" si="11"/>
        <v>-2.8979101099755988E-2</v>
      </c>
      <c r="I167" s="5">
        <f t="shared" si="12"/>
        <v>-2.4642647272061224E-2</v>
      </c>
    </row>
    <row r="168" spans="1:9" x14ac:dyDescent="0.25">
      <c r="A168" s="2">
        <v>41060</v>
      </c>
      <c r="B168" s="64">
        <v>28.33</v>
      </c>
      <c r="C168" s="64">
        <v>580.86</v>
      </c>
      <c r="D168" s="64">
        <v>565.58000000000004</v>
      </c>
      <c r="E168" s="65">
        <v>1310.33</v>
      </c>
      <c r="F168" s="5">
        <f t="shared" si="9"/>
        <v>-4.9174569722515438E-3</v>
      </c>
      <c r="G168" s="5">
        <f t="shared" si="10"/>
        <v>-1.2529112762014849E-2</v>
      </c>
      <c r="H168" s="5">
        <f t="shared" si="11"/>
        <v>-2.4868163459672576E-3</v>
      </c>
      <c r="I168" s="5">
        <f t="shared" si="12"/>
        <v>-2.2766728596229635E-3</v>
      </c>
    </row>
    <row r="169" spans="1:9" x14ac:dyDescent="0.25">
      <c r="A169" s="2">
        <v>41059</v>
      </c>
      <c r="B169" s="64">
        <v>28.47</v>
      </c>
      <c r="C169" s="64">
        <v>588.23</v>
      </c>
      <c r="D169" s="64">
        <v>566.99</v>
      </c>
      <c r="E169" s="65">
        <v>1313.32</v>
      </c>
      <c r="F169" s="5">
        <f t="shared" si="9"/>
        <v>-7.6681770651796377E-3</v>
      </c>
      <c r="G169" s="5">
        <f t="shared" si="10"/>
        <v>-1.0280310933135972E-2</v>
      </c>
      <c r="H169" s="5">
        <f t="shared" si="11"/>
        <v>1.2048407825217655E-2</v>
      </c>
      <c r="I169" s="5">
        <f t="shared" si="12"/>
        <v>-1.433481935125569E-2</v>
      </c>
    </row>
    <row r="170" spans="1:9" x14ac:dyDescent="0.25">
      <c r="A170" s="2">
        <v>41058</v>
      </c>
      <c r="B170" s="64">
        <v>28.69</v>
      </c>
      <c r="C170" s="64">
        <v>594.34</v>
      </c>
      <c r="D170" s="64">
        <v>560.24</v>
      </c>
      <c r="E170" s="65">
        <v>1332.42</v>
      </c>
      <c r="F170" s="5">
        <f t="shared" si="9"/>
        <v>1.7375886524822803E-2</v>
      </c>
      <c r="G170" s="5">
        <f t="shared" si="10"/>
        <v>4.7503930485353063E-3</v>
      </c>
      <c r="H170" s="5">
        <f t="shared" si="11"/>
        <v>1.7748469489708762E-2</v>
      </c>
      <c r="I170" s="5">
        <f t="shared" si="12"/>
        <v>1.1078903036833676E-2</v>
      </c>
    </row>
    <row r="171" spans="1:9" x14ac:dyDescent="0.25">
      <c r="A171" s="2">
        <v>41054</v>
      </c>
      <c r="B171" s="64">
        <v>28.2</v>
      </c>
      <c r="C171" s="64">
        <v>591.53</v>
      </c>
      <c r="D171" s="64">
        <v>550.47</v>
      </c>
      <c r="E171" s="65">
        <v>1317.82</v>
      </c>
      <c r="F171" s="5">
        <f t="shared" si="9"/>
        <v>-3.5448422545203417E-4</v>
      </c>
      <c r="G171" s="5">
        <f t="shared" si="10"/>
        <v>-2.0094092701189448E-2</v>
      </c>
      <c r="H171" s="5">
        <f t="shared" si="11"/>
        <v>-5.3484632202807081E-3</v>
      </c>
      <c r="I171" s="5">
        <f t="shared" si="12"/>
        <v>-2.1655510797469191E-3</v>
      </c>
    </row>
    <row r="172" spans="1:9" x14ac:dyDescent="0.25">
      <c r="A172" s="2">
        <v>41053</v>
      </c>
      <c r="B172" s="64">
        <v>28.21</v>
      </c>
      <c r="C172" s="64">
        <v>603.66</v>
      </c>
      <c r="D172" s="64">
        <v>553.42999999999995</v>
      </c>
      <c r="E172" s="65">
        <v>1320.68</v>
      </c>
      <c r="F172" s="5">
        <f t="shared" si="9"/>
        <v>-1.4159292035398341E-3</v>
      </c>
      <c r="G172" s="5">
        <f t="shared" si="10"/>
        <v>-9.5166212712894938E-3</v>
      </c>
      <c r="H172" s="5">
        <f t="shared" si="11"/>
        <v>-9.1843311372099556E-3</v>
      </c>
      <c r="I172" s="5">
        <f t="shared" si="12"/>
        <v>1.3799796794202734E-3</v>
      </c>
    </row>
    <row r="173" spans="1:9" x14ac:dyDescent="0.25">
      <c r="A173" s="2">
        <v>41052</v>
      </c>
      <c r="B173" s="64">
        <v>28.25</v>
      </c>
      <c r="C173" s="64">
        <v>609.46</v>
      </c>
      <c r="D173" s="64">
        <v>558.55999999999995</v>
      </c>
      <c r="E173" s="65">
        <v>1318.86</v>
      </c>
      <c r="F173" s="5">
        <f t="shared" si="9"/>
        <v>-2.1814404432132894E-2</v>
      </c>
      <c r="G173" s="5">
        <f t="shared" si="10"/>
        <v>1.4414114513981557E-2</v>
      </c>
      <c r="H173" s="5">
        <f t="shared" si="11"/>
        <v>2.4392033158493032E-2</v>
      </c>
      <c r="I173" s="5">
        <f t="shared" si="12"/>
        <v>1.6937180529077445E-3</v>
      </c>
    </row>
    <row r="174" spans="1:9" x14ac:dyDescent="0.25">
      <c r="A174" s="2">
        <v>41051</v>
      </c>
      <c r="B174" s="64">
        <v>28.88</v>
      </c>
      <c r="C174" s="64">
        <v>600.79999999999995</v>
      </c>
      <c r="D174" s="64">
        <v>545.26</v>
      </c>
      <c r="E174" s="65">
        <v>1316.63</v>
      </c>
      <c r="F174" s="5">
        <f t="shared" si="9"/>
        <v>3.4638032559741738E-4</v>
      </c>
      <c r="G174" s="5">
        <f t="shared" si="10"/>
        <v>-2.1673641530019161E-2</v>
      </c>
      <c r="H174" s="5">
        <f t="shared" si="11"/>
        <v>-7.6799883526244006E-3</v>
      </c>
      <c r="I174" s="5">
        <f t="shared" si="12"/>
        <v>4.8632588393537901E-4</v>
      </c>
    </row>
    <row r="175" spans="1:9" x14ac:dyDescent="0.25">
      <c r="A175" s="2">
        <v>41050</v>
      </c>
      <c r="B175" s="64">
        <v>28.87</v>
      </c>
      <c r="C175" s="64">
        <v>614.11</v>
      </c>
      <c r="D175" s="64">
        <v>549.48</v>
      </c>
      <c r="E175" s="65">
        <v>1315.99</v>
      </c>
      <c r="F175" s="5">
        <f t="shared" si="9"/>
        <v>1.6549295774648032E-2</v>
      </c>
      <c r="G175" s="5">
        <f t="shared" si="10"/>
        <v>2.2834776815456426E-2</v>
      </c>
      <c r="H175" s="5">
        <f t="shared" si="11"/>
        <v>5.8259345569400933E-2</v>
      </c>
      <c r="I175" s="5">
        <f t="shared" si="12"/>
        <v>1.6035885795463223E-2</v>
      </c>
    </row>
    <row r="176" spans="1:9" x14ac:dyDescent="0.25">
      <c r="A176" s="2">
        <v>41047</v>
      </c>
      <c r="B176" s="64">
        <v>28.4</v>
      </c>
      <c r="C176" s="64">
        <v>600.4</v>
      </c>
      <c r="D176" s="64">
        <v>519.23</v>
      </c>
      <c r="E176" s="65">
        <v>1295.22</v>
      </c>
      <c r="F176" s="5">
        <f t="shared" si="9"/>
        <v>-1.5256588072122046E-2</v>
      </c>
      <c r="G176" s="5">
        <f t="shared" si="10"/>
        <v>-3.6353422678757741E-2</v>
      </c>
      <c r="H176" s="5">
        <f t="shared" si="11"/>
        <v>5.0099235023215449E-4</v>
      </c>
      <c r="I176" s="5">
        <f t="shared" si="12"/>
        <v>-7.387765737320362E-3</v>
      </c>
    </row>
    <row r="177" spans="1:9" x14ac:dyDescent="0.25">
      <c r="A177" s="2">
        <v>41046</v>
      </c>
      <c r="B177" s="64">
        <v>28.84</v>
      </c>
      <c r="C177" s="64">
        <v>623.04999999999995</v>
      </c>
      <c r="D177" s="64">
        <v>518.97</v>
      </c>
      <c r="E177" s="65">
        <v>1304.8599999999999</v>
      </c>
      <c r="F177" s="5">
        <f t="shared" si="9"/>
        <v>-6.2026188835285767E-3</v>
      </c>
      <c r="G177" s="5">
        <f t="shared" si="10"/>
        <v>-9.3492121539757722E-3</v>
      </c>
      <c r="H177" s="5">
        <f t="shared" si="11"/>
        <v>-2.9236812570145876E-2</v>
      </c>
      <c r="I177" s="5">
        <f t="shared" si="12"/>
        <v>-1.5051328502415529E-2</v>
      </c>
    </row>
    <row r="178" spans="1:9" x14ac:dyDescent="0.25">
      <c r="A178" s="2">
        <v>41045</v>
      </c>
      <c r="B178" s="64">
        <v>29.02</v>
      </c>
      <c r="C178" s="64">
        <v>628.92999999999995</v>
      </c>
      <c r="D178" s="64">
        <v>534.6</v>
      </c>
      <c r="E178" s="65">
        <v>1324.8</v>
      </c>
      <c r="F178" s="5">
        <f t="shared" si="9"/>
        <v>-1.0231923601637161E-2</v>
      </c>
      <c r="G178" s="5">
        <f t="shared" si="10"/>
        <v>2.9160053018278065E-2</v>
      </c>
      <c r="H178" s="5">
        <f t="shared" si="11"/>
        <v>-1.2815304501975766E-2</v>
      </c>
      <c r="I178" s="5">
        <f t="shared" si="12"/>
        <v>-4.4038296785054998E-3</v>
      </c>
    </row>
    <row r="179" spans="1:9" x14ac:dyDescent="0.25">
      <c r="A179" s="2">
        <v>41044</v>
      </c>
      <c r="B179" s="64">
        <v>29.32</v>
      </c>
      <c r="C179" s="64">
        <v>611.11</v>
      </c>
      <c r="D179" s="64">
        <v>541.54</v>
      </c>
      <c r="E179" s="65">
        <v>1330.66</v>
      </c>
      <c r="F179" s="5">
        <f t="shared" si="9"/>
        <v>-8.789722785665921E-3</v>
      </c>
      <c r="G179" s="5">
        <f t="shared" si="10"/>
        <v>1.177152317880803E-2</v>
      </c>
      <c r="H179" s="5">
        <f t="shared" si="11"/>
        <v>-9.0396720831504851E-3</v>
      </c>
      <c r="I179" s="5">
        <f t="shared" si="12"/>
        <v>-5.7458811222772521E-3</v>
      </c>
    </row>
    <row r="180" spans="1:9" x14ac:dyDescent="0.25">
      <c r="A180" s="2">
        <v>41043</v>
      </c>
      <c r="B180" s="64">
        <v>29.58</v>
      </c>
      <c r="C180" s="64">
        <v>604</v>
      </c>
      <c r="D180" s="64">
        <v>546.48</v>
      </c>
      <c r="E180" s="65">
        <v>1338.35</v>
      </c>
      <c r="F180" s="5">
        <f t="shared" si="9"/>
        <v>-1.5312916111850927E-2</v>
      </c>
      <c r="G180" s="5">
        <f t="shared" si="10"/>
        <v>-2.0322852469309982E-3</v>
      </c>
      <c r="H180" s="5">
        <f t="shared" si="11"/>
        <v>-1.497864056670084E-2</v>
      </c>
      <c r="I180" s="5">
        <f t="shared" si="12"/>
        <v>-1.1112835176852354E-2</v>
      </c>
    </row>
    <row r="181" spans="1:9" x14ac:dyDescent="0.25">
      <c r="A181" s="2">
        <v>41040</v>
      </c>
      <c r="B181" s="64">
        <v>30.04</v>
      </c>
      <c r="C181" s="64">
        <v>605.23</v>
      </c>
      <c r="D181" s="64">
        <v>554.79</v>
      </c>
      <c r="E181" s="65">
        <v>1353.39</v>
      </c>
      <c r="F181" s="5">
        <f t="shared" si="9"/>
        <v>1.3495276653171295E-2</v>
      </c>
      <c r="G181" s="5">
        <f t="shared" si="10"/>
        <v>-1.3737248639311583E-2</v>
      </c>
      <c r="H181" s="5">
        <f t="shared" si="11"/>
        <v>-6.6783642483707606E-3</v>
      </c>
      <c r="I181" s="5">
        <f t="shared" si="12"/>
        <v>-3.3873592589046542E-3</v>
      </c>
    </row>
    <row r="182" spans="1:9" x14ac:dyDescent="0.25">
      <c r="A182" s="2">
        <v>41039</v>
      </c>
      <c r="B182" s="64">
        <v>29.64</v>
      </c>
      <c r="C182" s="64">
        <v>613.66</v>
      </c>
      <c r="D182" s="64">
        <v>558.52</v>
      </c>
      <c r="E182" s="65">
        <v>1357.99</v>
      </c>
      <c r="F182" s="5">
        <f t="shared" si="9"/>
        <v>-6.7430883344565817E-4</v>
      </c>
      <c r="G182" s="5">
        <f t="shared" si="10"/>
        <v>7.4037593367808352E-3</v>
      </c>
      <c r="H182" s="5">
        <f t="shared" si="11"/>
        <v>2.3509987257945841E-3</v>
      </c>
      <c r="I182" s="5">
        <f t="shared" si="12"/>
        <v>2.5173854626527881E-3</v>
      </c>
    </row>
    <row r="183" spans="1:9" x14ac:dyDescent="0.25">
      <c r="A183" s="2">
        <v>41038</v>
      </c>
      <c r="B183" s="64">
        <v>29.66</v>
      </c>
      <c r="C183" s="64">
        <v>609.15</v>
      </c>
      <c r="D183" s="64">
        <v>557.21</v>
      </c>
      <c r="E183" s="65">
        <v>1354.58</v>
      </c>
      <c r="F183" s="5">
        <f t="shared" si="9"/>
        <v>8.5005100306019266E-3</v>
      </c>
      <c r="G183" s="5">
        <f t="shared" si="10"/>
        <v>-5.9400447135233847E-3</v>
      </c>
      <c r="H183" s="5">
        <f t="shared" si="11"/>
        <v>1.7618611006238183E-3</v>
      </c>
      <c r="I183" s="5">
        <f t="shared" si="12"/>
        <v>-6.7022555949902696E-3</v>
      </c>
    </row>
    <row r="184" spans="1:9" x14ac:dyDescent="0.25">
      <c r="A184" s="2">
        <v>41037</v>
      </c>
      <c r="B184" s="64">
        <v>29.41</v>
      </c>
      <c r="C184" s="64">
        <v>612.79</v>
      </c>
      <c r="D184" s="64">
        <v>556.23</v>
      </c>
      <c r="E184" s="65">
        <v>1363.72</v>
      </c>
      <c r="F184" s="5">
        <f t="shared" si="9"/>
        <v>-4.7377326565144484E-3</v>
      </c>
      <c r="G184" s="5">
        <f t="shared" si="10"/>
        <v>8.6248045428360953E-3</v>
      </c>
      <c r="H184" s="5">
        <f t="shared" si="11"/>
        <v>-2.295922943086226E-3</v>
      </c>
      <c r="I184" s="5">
        <f t="shared" si="12"/>
        <v>-4.2786839761094209E-3</v>
      </c>
    </row>
    <row r="185" spans="1:9" x14ac:dyDescent="0.25">
      <c r="A185" s="2">
        <v>41036</v>
      </c>
      <c r="B185" s="64">
        <v>29.55</v>
      </c>
      <c r="C185" s="64">
        <v>607.54999999999995</v>
      </c>
      <c r="D185" s="64">
        <v>557.51</v>
      </c>
      <c r="E185" s="65">
        <v>1369.58</v>
      </c>
      <c r="F185" s="5">
        <f t="shared" si="9"/>
        <v>-1.0713090056913344E-2</v>
      </c>
      <c r="G185" s="5">
        <f t="shared" si="10"/>
        <v>1.7722833643231573E-2</v>
      </c>
      <c r="H185" s="5">
        <f t="shared" si="11"/>
        <v>7.4814319533043072E-3</v>
      </c>
      <c r="I185" s="5">
        <f t="shared" si="12"/>
        <v>3.5059528157188602E-4</v>
      </c>
    </row>
    <row r="186" spans="1:9" x14ac:dyDescent="0.25">
      <c r="A186" s="2">
        <v>41033</v>
      </c>
      <c r="B186" s="64">
        <v>29.87</v>
      </c>
      <c r="C186" s="64">
        <v>596.97</v>
      </c>
      <c r="D186" s="64">
        <v>553.37</v>
      </c>
      <c r="E186" s="65">
        <v>1369.1</v>
      </c>
      <c r="F186" s="5">
        <f t="shared" si="9"/>
        <v>-2.4493794905290689E-2</v>
      </c>
      <c r="G186" s="5">
        <f t="shared" si="10"/>
        <v>-2.2994337337566617E-2</v>
      </c>
      <c r="H186" s="5">
        <f t="shared" si="11"/>
        <v>-2.8476623536227819E-2</v>
      </c>
      <c r="I186" s="5">
        <f t="shared" si="12"/>
        <v>-1.614722938838864E-2</v>
      </c>
    </row>
    <row r="187" spans="1:9" x14ac:dyDescent="0.25">
      <c r="A187" s="2">
        <v>41032</v>
      </c>
      <c r="B187" s="64">
        <v>30.62</v>
      </c>
      <c r="C187" s="64">
        <v>611.02</v>
      </c>
      <c r="D187" s="64">
        <v>569.59</v>
      </c>
      <c r="E187" s="65">
        <v>1391.57</v>
      </c>
      <c r="F187" s="5">
        <f t="shared" si="9"/>
        <v>-1.3046314416177429E-3</v>
      </c>
      <c r="G187" s="5">
        <f t="shared" si="10"/>
        <v>6.1917465336098765E-3</v>
      </c>
      <c r="H187" s="5">
        <f t="shared" si="11"/>
        <v>-7.0947948262035654E-3</v>
      </c>
      <c r="I187" s="5">
        <f t="shared" si="12"/>
        <v>-7.6587915653457683E-3</v>
      </c>
    </row>
    <row r="188" spans="1:9" x14ac:dyDescent="0.25">
      <c r="A188" s="2">
        <v>41031</v>
      </c>
      <c r="B188" s="64">
        <v>30.66</v>
      </c>
      <c r="C188" s="64">
        <v>607.26</v>
      </c>
      <c r="D188" s="64">
        <v>573.66</v>
      </c>
      <c r="E188" s="65">
        <v>1402.31</v>
      </c>
      <c r="F188" s="5">
        <f t="shared" si="9"/>
        <v>-6.4808813998703529E-3</v>
      </c>
      <c r="G188" s="5">
        <f t="shared" si="10"/>
        <v>4.6820971824694801E-3</v>
      </c>
      <c r="H188" s="5">
        <f t="shared" si="11"/>
        <v>6.6153117268243911E-3</v>
      </c>
      <c r="I188" s="5">
        <f t="shared" si="12"/>
        <v>-2.4967634547807815E-3</v>
      </c>
    </row>
    <row r="189" spans="1:9" x14ac:dyDescent="0.25">
      <c r="A189" s="2">
        <v>41030</v>
      </c>
      <c r="B189" s="64">
        <v>30.86</v>
      </c>
      <c r="C189" s="64">
        <v>604.42999999999995</v>
      </c>
      <c r="D189" s="64">
        <v>569.89</v>
      </c>
      <c r="E189" s="65">
        <v>1405.82</v>
      </c>
      <c r="F189" s="5">
        <f t="shared" si="9"/>
        <v>-3.2393909944938848E-4</v>
      </c>
      <c r="G189" s="5">
        <f t="shared" si="10"/>
        <v>-6.943870381087569E-4</v>
      </c>
      <c r="H189" s="5">
        <f t="shared" si="11"/>
        <v>-3.1659961518279989E-3</v>
      </c>
      <c r="I189" s="5">
        <f t="shared" si="12"/>
        <v>5.65844725339959E-3</v>
      </c>
    </row>
    <row r="190" spans="1:9" x14ac:dyDescent="0.25">
      <c r="A190" s="2">
        <v>41029</v>
      </c>
      <c r="B190" s="64">
        <v>30.87</v>
      </c>
      <c r="C190" s="64">
        <v>604.85</v>
      </c>
      <c r="D190" s="64">
        <v>571.70000000000005</v>
      </c>
      <c r="E190" s="65">
        <v>1397.91</v>
      </c>
      <c r="F190" s="5">
        <f t="shared" si="9"/>
        <v>1.2974375608174604E-3</v>
      </c>
      <c r="G190" s="5">
        <f t="shared" si="10"/>
        <v>-1.6472080392858302E-2</v>
      </c>
      <c r="H190" s="5">
        <f t="shared" si="11"/>
        <v>-3.1542214392194068E-2</v>
      </c>
      <c r="I190" s="5">
        <f t="shared" si="12"/>
        <v>-3.8835366548852779E-3</v>
      </c>
    </row>
    <row r="191" spans="1:9" x14ac:dyDescent="0.25">
      <c r="A191" s="2">
        <v>41026</v>
      </c>
      <c r="B191" s="64">
        <v>30.83</v>
      </c>
      <c r="C191" s="64">
        <v>614.98</v>
      </c>
      <c r="D191" s="64">
        <v>590.32000000000005</v>
      </c>
      <c r="E191" s="65">
        <v>1403.36</v>
      </c>
      <c r="F191" s="5">
        <f t="shared" si="9"/>
        <v>-4.1989664082687783E-3</v>
      </c>
      <c r="G191" s="5">
        <f t="shared" si="10"/>
        <v>-7.9613953563939521E-4</v>
      </c>
      <c r="H191" s="5">
        <f t="shared" si="11"/>
        <v>-7.7321320513681346E-3</v>
      </c>
      <c r="I191" s="5">
        <f t="shared" si="12"/>
        <v>2.4143202045743273E-3</v>
      </c>
    </row>
    <row r="192" spans="1:9" x14ac:dyDescent="0.25">
      <c r="A192" s="2">
        <v>41025</v>
      </c>
      <c r="B192" s="64">
        <v>30.96</v>
      </c>
      <c r="C192" s="64">
        <v>615.47</v>
      </c>
      <c r="D192" s="64">
        <v>594.91999999999996</v>
      </c>
      <c r="E192" s="65">
        <v>1399.98</v>
      </c>
      <c r="F192" s="5">
        <f t="shared" si="9"/>
        <v>-2.5773195876288568E-3</v>
      </c>
      <c r="G192" s="5">
        <f t="shared" si="10"/>
        <v>9.4305582890508166E-3</v>
      </c>
      <c r="H192" s="5">
        <f t="shared" si="11"/>
        <v>-3.7677713213992714E-3</v>
      </c>
      <c r="I192" s="5">
        <f t="shared" si="12"/>
        <v>6.6801371980815816E-3</v>
      </c>
    </row>
    <row r="193" spans="1:9" x14ac:dyDescent="0.25">
      <c r="A193" s="2">
        <v>41024</v>
      </c>
      <c r="B193" s="64">
        <v>31.04</v>
      </c>
      <c r="C193" s="64">
        <v>609.72</v>
      </c>
      <c r="D193" s="64">
        <v>597.16999999999996</v>
      </c>
      <c r="E193" s="65">
        <v>1390.69</v>
      </c>
      <c r="F193" s="5">
        <f t="shared" si="9"/>
        <v>8.7747806304843134E-3</v>
      </c>
      <c r="G193" s="5">
        <f t="shared" si="10"/>
        <v>1.4053586575082821E-2</v>
      </c>
      <c r="H193" s="5">
        <f t="shared" si="11"/>
        <v>8.8732907930719973E-2</v>
      </c>
      <c r="I193" s="5">
        <f t="shared" si="12"/>
        <v>1.3644613220405777E-2</v>
      </c>
    </row>
    <row r="194" spans="1:9" x14ac:dyDescent="0.25">
      <c r="A194" s="2">
        <v>41023</v>
      </c>
      <c r="B194" s="64">
        <v>30.77</v>
      </c>
      <c r="C194" s="64">
        <v>601.27</v>
      </c>
      <c r="D194" s="64">
        <v>548.5</v>
      </c>
      <c r="E194" s="65">
        <v>1371.97</v>
      </c>
      <c r="F194" s="5">
        <f t="shared" si="9"/>
        <v>-6.4578624475298829E-3</v>
      </c>
      <c r="G194" s="5">
        <f t="shared" si="10"/>
        <v>6.1412315930386985E-3</v>
      </c>
      <c r="H194" s="5">
        <f t="shared" si="11"/>
        <v>-1.9975700400228669E-2</v>
      </c>
      <c r="I194" s="5">
        <f t="shared" si="12"/>
        <v>3.6797518545070851E-3</v>
      </c>
    </row>
    <row r="195" spans="1:9" x14ac:dyDescent="0.25">
      <c r="A195" s="2">
        <v>41022</v>
      </c>
      <c r="B195" s="64">
        <v>30.97</v>
      </c>
      <c r="C195" s="64">
        <v>597.6</v>
      </c>
      <c r="D195" s="64">
        <v>559.67999999999995</v>
      </c>
      <c r="E195" s="65">
        <v>1366.94</v>
      </c>
      <c r="F195" s="5">
        <f t="shared" si="9"/>
        <v>-9.2770313499680457E-3</v>
      </c>
      <c r="G195" s="5">
        <f t="shared" si="10"/>
        <v>2.5836325202162058E-3</v>
      </c>
      <c r="H195" s="5">
        <f t="shared" si="11"/>
        <v>-2.2284420515928938E-3</v>
      </c>
      <c r="I195" s="5">
        <f t="shared" si="12"/>
        <v>-8.407506546828758E-3</v>
      </c>
    </row>
    <row r="196" spans="1:9" x14ac:dyDescent="0.25">
      <c r="A196" s="2">
        <v>41019</v>
      </c>
      <c r="B196" s="64">
        <v>31.26</v>
      </c>
      <c r="C196" s="64">
        <v>596.05999999999995</v>
      </c>
      <c r="D196" s="64">
        <v>560.92999999999995</v>
      </c>
      <c r="E196" s="65">
        <v>1378.53</v>
      </c>
      <c r="F196" s="5">
        <f t="shared" si="9"/>
        <v>4.5484949832776067E-2</v>
      </c>
      <c r="G196" s="5">
        <f t="shared" si="10"/>
        <v>-5.4063073585850496E-3</v>
      </c>
      <c r="H196" s="5">
        <f t="shared" si="11"/>
        <v>-2.4622233041784902E-2</v>
      </c>
      <c r="I196" s="5">
        <f t="shared" si="12"/>
        <v>1.1692763559247865E-3</v>
      </c>
    </row>
    <row r="197" spans="1:9" x14ac:dyDescent="0.25">
      <c r="A197" s="2">
        <v>41018</v>
      </c>
      <c r="B197" s="64">
        <v>29.9</v>
      </c>
      <c r="C197" s="64">
        <v>599.29999999999995</v>
      </c>
      <c r="D197" s="64">
        <v>575.09</v>
      </c>
      <c r="E197" s="65">
        <v>1376.92</v>
      </c>
      <c r="F197" s="5">
        <f t="shared" si="9"/>
        <v>-3.9973351099267251E-3</v>
      </c>
      <c r="G197" s="5">
        <f t="shared" si="10"/>
        <v>-1.3416742118693037E-2</v>
      </c>
      <c r="H197" s="5">
        <f t="shared" si="11"/>
        <v>-3.4354798085802885E-2</v>
      </c>
      <c r="I197" s="5">
        <f t="shared" si="12"/>
        <v>-5.9344181815557118E-3</v>
      </c>
    </row>
    <row r="198" spans="1:9" x14ac:dyDescent="0.25">
      <c r="A198" s="2">
        <v>41017</v>
      </c>
      <c r="B198" s="64">
        <v>30.02</v>
      </c>
      <c r="C198" s="64">
        <v>607.45000000000005</v>
      </c>
      <c r="D198" s="64">
        <v>595.54999999999995</v>
      </c>
      <c r="E198" s="65">
        <v>1385.14</v>
      </c>
      <c r="F198" s="5">
        <f t="shared" si="9"/>
        <v>-9.5677994061366123E-3</v>
      </c>
      <c r="G198" s="5">
        <f t="shared" si="10"/>
        <v>-3.4778614433125243E-3</v>
      </c>
      <c r="H198" s="5">
        <f t="shared" si="11"/>
        <v>-2.2282535853103136E-3</v>
      </c>
      <c r="I198" s="5">
        <f t="shared" si="12"/>
        <v>-4.0552783330216613E-3</v>
      </c>
    </row>
    <row r="199" spans="1:9" x14ac:dyDescent="0.25">
      <c r="A199" s="2">
        <v>41016</v>
      </c>
      <c r="B199" s="64">
        <v>30.31</v>
      </c>
      <c r="C199" s="64">
        <v>609.57000000000005</v>
      </c>
      <c r="D199" s="64">
        <v>596.88</v>
      </c>
      <c r="E199" s="65">
        <v>1390.78</v>
      </c>
      <c r="F199" s="5">
        <f t="shared" si="9"/>
        <v>1.1682242990654235E-2</v>
      </c>
      <c r="G199" s="5">
        <f t="shared" si="10"/>
        <v>5.7749104888873415E-3</v>
      </c>
      <c r="H199" s="5">
        <f t="shared" si="11"/>
        <v>5.0974591939147551E-2</v>
      </c>
      <c r="I199" s="5">
        <f t="shared" si="12"/>
        <v>1.5486612586432358E-2</v>
      </c>
    </row>
    <row r="200" spans="1:9" x14ac:dyDescent="0.25">
      <c r="A200" s="2">
        <v>41015</v>
      </c>
      <c r="B200" s="64">
        <v>29.96</v>
      </c>
      <c r="C200" s="64">
        <v>606.07000000000005</v>
      </c>
      <c r="D200" s="64">
        <v>567.92999999999995</v>
      </c>
      <c r="E200" s="65">
        <v>1369.57</v>
      </c>
      <c r="F200" s="5">
        <f t="shared" si="9"/>
        <v>8.7542087542087366E-3</v>
      </c>
      <c r="G200" s="5">
        <f t="shared" si="10"/>
        <v>-2.9666986871597745E-2</v>
      </c>
      <c r="H200" s="5">
        <f t="shared" si="11"/>
        <v>-4.1468354430379883E-2</v>
      </c>
      <c r="I200" s="5">
        <f t="shared" si="12"/>
        <v>-5.0355407003055408E-4</v>
      </c>
    </row>
    <row r="201" spans="1:9" x14ac:dyDescent="0.25">
      <c r="A201" s="2">
        <v>41012</v>
      </c>
      <c r="B201" s="64">
        <v>29.7</v>
      </c>
      <c r="C201" s="64">
        <v>624.6</v>
      </c>
      <c r="D201" s="64">
        <v>592.5</v>
      </c>
      <c r="E201" s="65">
        <v>1370.26</v>
      </c>
      <c r="F201" s="5">
        <f t="shared" si="9"/>
        <v>-5.6913290927352866E-3</v>
      </c>
      <c r="G201" s="5">
        <f t="shared" si="10"/>
        <v>-4.0567733214543544E-2</v>
      </c>
      <c r="H201" s="5">
        <f t="shared" si="11"/>
        <v>-2.8178716703844531E-2</v>
      </c>
      <c r="I201" s="5">
        <f t="shared" si="12"/>
        <v>-1.2475046303970228E-2</v>
      </c>
    </row>
    <row r="202" spans="1:9" x14ac:dyDescent="0.25">
      <c r="A202" s="2">
        <v>41011</v>
      </c>
      <c r="B202" s="64">
        <v>29.87</v>
      </c>
      <c r="C202" s="64">
        <v>651.01</v>
      </c>
      <c r="D202" s="64">
        <v>609.67999999999995</v>
      </c>
      <c r="E202" s="65">
        <v>1387.57</v>
      </c>
      <c r="F202" s="5">
        <f t="shared" si="9"/>
        <v>2.0847573479152448E-2</v>
      </c>
      <c r="G202" s="5">
        <f t="shared" si="10"/>
        <v>2.3665010378011164E-2</v>
      </c>
      <c r="H202" s="5">
        <f t="shared" si="11"/>
        <v>-5.4646591520807197E-3</v>
      </c>
      <c r="I202" s="5">
        <f t="shared" si="12"/>
        <v>1.3779398119396991E-2</v>
      </c>
    </row>
    <row r="203" spans="1:9" x14ac:dyDescent="0.25">
      <c r="A203" s="2">
        <v>41010</v>
      </c>
      <c r="B203" s="64">
        <v>29.26</v>
      </c>
      <c r="C203" s="64">
        <v>635.96</v>
      </c>
      <c r="D203" s="64">
        <v>613.03</v>
      </c>
      <c r="E203" s="65">
        <v>1368.71</v>
      </c>
      <c r="F203" s="5">
        <f t="shared" si="9"/>
        <v>-4.0844111640571112E-3</v>
      </c>
      <c r="G203" s="5">
        <f t="shared" si="10"/>
        <v>1.4516798009124976E-2</v>
      </c>
      <c r="H203" s="5">
        <f t="shared" si="11"/>
        <v>-3.575898444484249E-3</v>
      </c>
      <c r="I203" s="5">
        <f t="shared" si="12"/>
        <v>7.4488992264039044E-3</v>
      </c>
    </row>
    <row r="204" spans="1:9" x14ac:dyDescent="0.25">
      <c r="A204" s="2">
        <v>41009</v>
      </c>
      <c r="B204" s="64">
        <v>29.38</v>
      </c>
      <c r="C204" s="64">
        <v>626.86</v>
      </c>
      <c r="D204" s="64">
        <v>615.23</v>
      </c>
      <c r="E204" s="65">
        <v>1358.59</v>
      </c>
      <c r="F204" s="5">
        <f t="shared" si="9"/>
        <v>-2.0013342228152098E-2</v>
      </c>
      <c r="G204" s="5">
        <f t="shared" si="10"/>
        <v>-6.3090482531228398E-3</v>
      </c>
      <c r="H204" s="5">
        <f t="shared" si="11"/>
        <v>-1.2234085253271298E-2</v>
      </c>
      <c r="I204" s="5">
        <f t="shared" si="12"/>
        <v>-1.7081464332224128E-2</v>
      </c>
    </row>
    <row r="205" spans="1:9" x14ac:dyDescent="0.25">
      <c r="A205" s="2">
        <v>41008</v>
      </c>
      <c r="B205" s="64">
        <v>29.98</v>
      </c>
      <c r="C205" s="64">
        <v>630.84</v>
      </c>
      <c r="D205" s="64">
        <v>622.85</v>
      </c>
      <c r="E205" s="65">
        <v>1382.2</v>
      </c>
      <c r="F205" s="5">
        <f t="shared" si="9"/>
        <v>-1.3491280026324493E-2</v>
      </c>
      <c r="G205" s="5">
        <f t="shared" si="10"/>
        <v>-2.3405870445344368E-3</v>
      </c>
      <c r="H205" s="5">
        <f t="shared" si="11"/>
        <v>4.0137984396158011E-3</v>
      </c>
      <c r="I205" s="5">
        <f t="shared" si="12"/>
        <v>-1.1358434424353359E-2</v>
      </c>
    </row>
    <row r="206" spans="1:9" x14ac:dyDescent="0.25">
      <c r="A206" s="2">
        <v>41004</v>
      </c>
      <c r="B206" s="64">
        <v>30.39</v>
      </c>
      <c r="C206" s="64">
        <v>632.32000000000005</v>
      </c>
      <c r="D206" s="64">
        <v>620.36</v>
      </c>
      <c r="E206" s="65">
        <v>1398.08</v>
      </c>
      <c r="F206" s="5">
        <f t="shared" si="9"/>
        <v>9.9700897308077074E-3</v>
      </c>
      <c r="G206" s="5">
        <f t="shared" si="10"/>
        <v>-4.455640399905425E-3</v>
      </c>
      <c r="H206" s="5">
        <f t="shared" si="11"/>
        <v>1.5020125004090445E-2</v>
      </c>
      <c r="I206" s="5">
        <f t="shared" si="12"/>
        <v>-6.2903871447372861E-4</v>
      </c>
    </row>
    <row r="207" spans="1:9" x14ac:dyDescent="0.25">
      <c r="A207" s="2">
        <v>41003</v>
      </c>
      <c r="B207" s="64">
        <v>30.09</v>
      </c>
      <c r="C207" s="64">
        <v>635.15</v>
      </c>
      <c r="D207" s="64">
        <v>611.17999999999995</v>
      </c>
      <c r="E207" s="65">
        <v>1398.96</v>
      </c>
      <c r="F207" s="5">
        <f t="shared" si="9"/>
        <v>-2.2734654108476748E-2</v>
      </c>
      <c r="G207" s="5">
        <f t="shared" si="10"/>
        <v>-1.1624288070710587E-2</v>
      </c>
      <c r="H207" s="5">
        <f t="shared" si="11"/>
        <v>-7.9696148290023805E-3</v>
      </c>
      <c r="I207" s="5">
        <f t="shared" si="12"/>
        <v>-1.0202493313900107E-2</v>
      </c>
    </row>
    <row r="208" spans="1:9" x14ac:dyDescent="0.25">
      <c r="A208" s="2">
        <v>41002</v>
      </c>
      <c r="B208" s="64">
        <v>30.79</v>
      </c>
      <c r="C208" s="64">
        <v>642.62</v>
      </c>
      <c r="D208" s="64">
        <v>616.09</v>
      </c>
      <c r="E208" s="65">
        <v>1413.38</v>
      </c>
      <c r="F208" s="5">
        <f t="shared" si="9"/>
        <v>-1.0921940250562145E-2</v>
      </c>
      <c r="G208" s="5">
        <f t="shared" si="10"/>
        <v>-6.6468806034748473E-3</v>
      </c>
      <c r="H208" s="5">
        <f t="shared" si="11"/>
        <v>1.7288068425745484E-2</v>
      </c>
      <c r="I208" s="5">
        <f t="shared" si="12"/>
        <v>-3.9886120193932673E-3</v>
      </c>
    </row>
    <row r="209" spans="1:9" x14ac:dyDescent="0.25">
      <c r="A209" s="2">
        <v>41001</v>
      </c>
      <c r="B209" s="64">
        <v>31.13</v>
      </c>
      <c r="C209" s="64">
        <v>646.91999999999996</v>
      </c>
      <c r="D209" s="64">
        <v>605.62</v>
      </c>
      <c r="E209" s="65">
        <v>1419.04</v>
      </c>
      <c r="F209" s="5">
        <f t="shared" si="9"/>
        <v>9.646302250803096E-4</v>
      </c>
      <c r="G209" s="5">
        <f t="shared" si="10"/>
        <v>8.857837938993196E-3</v>
      </c>
      <c r="H209" s="5">
        <f t="shared" si="11"/>
        <v>3.1826081030428943E-2</v>
      </c>
      <c r="I209" s="5">
        <f t="shared" si="12"/>
        <v>7.504597187018458E-3</v>
      </c>
    </row>
    <row r="210" spans="1:9" x14ac:dyDescent="0.25">
      <c r="A210" s="2">
        <v>40998</v>
      </c>
      <c r="B210" s="64">
        <v>31.1</v>
      </c>
      <c r="C210" s="64">
        <v>641.24</v>
      </c>
      <c r="D210" s="64">
        <v>586.94000000000005</v>
      </c>
      <c r="E210" s="65">
        <v>1408.47</v>
      </c>
      <c r="F210" s="5">
        <f t="shared" si="9"/>
        <v>4.1976105908945183E-3</v>
      </c>
      <c r="G210" s="5">
        <f t="shared" si="10"/>
        <v>-1.105781835566999E-2</v>
      </c>
      <c r="H210" s="5">
        <f t="shared" si="11"/>
        <v>-1.69167894948411E-2</v>
      </c>
      <c r="I210" s="5">
        <f t="shared" si="12"/>
        <v>3.6984778518898143E-3</v>
      </c>
    </row>
    <row r="211" spans="1:9" x14ac:dyDescent="0.25">
      <c r="A211" s="2">
        <v>40997</v>
      </c>
      <c r="B211" s="64">
        <v>30.97</v>
      </c>
      <c r="C211" s="64">
        <v>648.41</v>
      </c>
      <c r="D211" s="64">
        <v>597.04</v>
      </c>
      <c r="E211" s="65">
        <v>1403.28</v>
      </c>
      <c r="F211" s="5">
        <f t="shared" si="9"/>
        <v>-1.9336126329358994E-3</v>
      </c>
      <c r="G211" s="5">
        <f t="shared" si="10"/>
        <v>-1.1208368915456957E-2</v>
      </c>
      <c r="H211" s="5">
        <f t="shared" si="11"/>
        <v>-1.2553131667300765E-2</v>
      </c>
      <c r="I211" s="5">
        <f t="shared" si="12"/>
        <v>-1.6079229335344003E-3</v>
      </c>
    </row>
    <row r="212" spans="1:9" x14ac:dyDescent="0.25">
      <c r="A212" s="2">
        <v>40996</v>
      </c>
      <c r="B212" s="64">
        <v>31.03</v>
      </c>
      <c r="C212" s="64">
        <v>655.76</v>
      </c>
      <c r="D212" s="64">
        <v>604.63</v>
      </c>
      <c r="E212" s="65">
        <v>1405.54</v>
      </c>
      <c r="F212" s="5">
        <f t="shared" si="9"/>
        <v>-1.0207336523125998E-2</v>
      </c>
      <c r="G212" s="5">
        <f t="shared" si="10"/>
        <v>1.3508083212265376E-2</v>
      </c>
      <c r="H212" s="5">
        <f t="shared" si="11"/>
        <v>5.1033978323027362E-3</v>
      </c>
      <c r="I212" s="5">
        <f t="shared" si="12"/>
        <v>-4.9415229518874337E-3</v>
      </c>
    </row>
    <row r="213" spans="1:9" x14ac:dyDescent="0.25">
      <c r="A213" s="2">
        <v>40995</v>
      </c>
      <c r="B213" s="64">
        <v>31.35</v>
      </c>
      <c r="C213" s="64">
        <v>647.02</v>
      </c>
      <c r="D213" s="64">
        <v>601.55999999999995</v>
      </c>
      <c r="E213" s="65">
        <v>1412.52</v>
      </c>
      <c r="F213" s="5">
        <f t="shared" si="9"/>
        <v>-2.22788033099941E-3</v>
      </c>
      <c r="G213" s="5">
        <f t="shared" si="10"/>
        <v>-3.557513128917611E-3</v>
      </c>
      <c r="H213" s="5">
        <f t="shared" si="11"/>
        <v>1.2352327420820375E-2</v>
      </c>
      <c r="I213" s="5">
        <f t="shared" si="12"/>
        <v>-2.8167820911959573E-3</v>
      </c>
    </row>
    <row r="214" spans="1:9" x14ac:dyDescent="0.25">
      <c r="A214" s="2">
        <v>40994</v>
      </c>
      <c r="B214" s="64">
        <v>31.42</v>
      </c>
      <c r="C214" s="64">
        <v>649.33000000000004</v>
      </c>
      <c r="D214" s="64">
        <v>594.22</v>
      </c>
      <c r="E214" s="65">
        <v>1416.51</v>
      </c>
      <c r="F214" s="5">
        <f t="shared" si="9"/>
        <v>1.8146467919637255E-2</v>
      </c>
      <c r="G214" s="5">
        <f t="shared" si="10"/>
        <v>1.0488803124854229E-2</v>
      </c>
      <c r="H214" s="5">
        <f t="shared" si="11"/>
        <v>1.833698930627925E-2</v>
      </c>
      <c r="I214" s="5">
        <f t="shared" si="12"/>
        <v>1.3885807130433525E-2</v>
      </c>
    </row>
    <row r="215" spans="1:9" x14ac:dyDescent="0.25">
      <c r="A215" s="2">
        <v>40991</v>
      </c>
      <c r="B215" s="64">
        <v>30.86</v>
      </c>
      <c r="C215" s="64">
        <v>642.59</v>
      </c>
      <c r="D215" s="64">
        <v>583.52</v>
      </c>
      <c r="E215" s="65">
        <v>1397.11</v>
      </c>
      <c r="F215" s="5">
        <f t="shared" ref="F215:F270" si="13">(B215/B216)-1</f>
        <v>3.2414910858991064E-4</v>
      </c>
      <c r="G215" s="5">
        <f t="shared" ref="G215:G270" si="14">(C215/C216)-1</f>
        <v>-5.3556226298272502E-3</v>
      </c>
      <c r="H215" s="5">
        <f t="shared" ref="H215:H270" si="15">(D215/D216)-1</f>
        <v>-5.4879503698401777E-3</v>
      </c>
      <c r="I215" s="5">
        <f t="shared" ref="I215:I270" si="16">(E215/E216)-1</f>
        <v>3.108890133402209E-3</v>
      </c>
    </row>
    <row r="216" spans="1:9" x14ac:dyDescent="0.25">
      <c r="A216" s="2">
        <v>40990</v>
      </c>
      <c r="B216" s="64">
        <v>30.85</v>
      </c>
      <c r="C216" s="64">
        <v>646.04999999999995</v>
      </c>
      <c r="D216" s="64">
        <v>586.74</v>
      </c>
      <c r="E216" s="65">
        <v>1392.78</v>
      </c>
      <c r="F216" s="5">
        <f t="shared" si="13"/>
        <v>2.9258777633289768E-3</v>
      </c>
      <c r="G216" s="5">
        <f t="shared" si="14"/>
        <v>9.4846713959810813E-3</v>
      </c>
      <c r="H216" s="5">
        <f t="shared" si="15"/>
        <v>-5.2387976196531794E-3</v>
      </c>
      <c r="I216" s="5">
        <f t="shared" si="16"/>
        <v>-7.206552188696258E-3</v>
      </c>
    </row>
    <row r="217" spans="1:9" x14ac:dyDescent="0.25">
      <c r="A217" s="2">
        <v>40989</v>
      </c>
      <c r="B217" s="64">
        <v>30.76</v>
      </c>
      <c r="C217" s="64">
        <v>639.98</v>
      </c>
      <c r="D217" s="64">
        <v>589.83000000000004</v>
      </c>
      <c r="E217" s="65">
        <v>1402.89</v>
      </c>
      <c r="F217" s="5">
        <f t="shared" si="13"/>
        <v>-2.5940337224383825E-3</v>
      </c>
      <c r="G217" s="5">
        <f t="shared" si="14"/>
        <v>1.024483417259936E-2</v>
      </c>
      <c r="H217" s="5">
        <f t="shared" si="15"/>
        <v>-5.7145746940426845E-3</v>
      </c>
      <c r="I217" s="5">
        <f t="shared" si="16"/>
        <v>-1.8711935796003054E-3</v>
      </c>
    </row>
    <row r="218" spans="1:9" x14ac:dyDescent="0.25">
      <c r="A218" s="2">
        <v>40988</v>
      </c>
      <c r="B218" s="64">
        <v>30.84</v>
      </c>
      <c r="C218" s="64">
        <v>633.49</v>
      </c>
      <c r="D218" s="64">
        <v>593.22</v>
      </c>
      <c r="E218" s="65">
        <v>1405.52</v>
      </c>
      <c r="F218" s="5">
        <f t="shared" si="13"/>
        <v>-6.4432989690721421E-3</v>
      </c>
      <c r="G218" s="5">
        <f t="shared" si="14"/>
        <v>-7.7289504400768205E-4</v>
      </c>
      <c r="H218" s="5">
        <f t="shared" si="15"/>
        <v>8.088910036366137E-3</v>
      </c>
      <c r="I218" s="5">
        <f t="shared" si="16"/>
        <v>-3.0005320092214571E-3</v>
      </c>
    </row>
    <row r="219" spans="1:9" x14ac:dyDescent="0.25">
      <c r="A219" s="2">
        <v>40987</v>
      </c>
      <c r="B219" s="64">
        <v>31.04</v>
      </c>
      <c r="C219" s="64">
        <v>633.98</v>
      </c>
      <c r="D219" s="64">
        <v>588.46</v>
      </c>
      <c r="E219" s="65">
        <v>1409.75</v>
      </c>
      <c r="F219" s="5">
        <f t="shared" si="13"/>
        <v>-1.2408526885141602E-2</v>
      </c>
      <c r="G219" s="5">
        <f t="shared" si="14"/>
        <v>1.4303084602585558E-2</v>
      </c>
      <c r="H219" s="5">
        <f t="shared" si="15"/>
        <v>2.6515019362941761E-2</v>
      </c>
      <c r="I219" s="5">
        <f t="shared" si="16"/>
        <v>3.9738778068181269E-3</v>
      </c>
    </row>
    <row r="220" spans="1:9" x14ac:dyDescent="0.25">
      <c r="A220" s="2">
        <v>40984</v>
      </c>
      <c r="B220" s="64">
        <v>31.43</v>
      </c>
      <c r="C220" s="64">
        <v>625.04</v>
      </c>
      <c r="D220" s="64">
        <v>573.26</v>
      </c>
      <c r="E220" s="65">
        <v>1404.17</v>
      </c>
      <c r="F220" s="5">
        <f t="shared" si="13"/>
        <v>-7.5781496684560468E-3</v>
      </c>
      <c r="G220" s="5">
        <f t="shared" si="14"/>
        <v>6.2949785069148501E-3</v>
      </c>
      <c r="H220" s="5">
        <f t="shared" si="15"/>
        <v>1.7444395987720185E-5</v>
      </c>
      <c r="I220" s="5">
        <f t="shared" si="16"/>
        <v>1.1193497789820928E-3</v>
      </c>
    </row>
    <row r="221" spans="1:9" x14ac:dyDescent="0.25">
      <c r="A221" s="2">
        <v>40983</v>
      </c>
      <c r="B221" s="64">
        <v>31.67</v>
      </c>
      <c r="C221" s="64">
        <v>621.13</v>
      </c>
      <c r="D221" s="64">
        <v>573.25</v>
      </c>
      <c r="E221" s="65">
        <v>1402.6</v>
      </c>
      <c r="F221" s="5">
        <f t="shared" si="13"/>
        <v>2.5324469768914781E-3</v>
      </c>
      <c r="G221" s="5">
        <f t="shared" si="14"/>
        <v>8.3442913034301736E-3</v>
      </c>
      <c r="H221" s="5">
        <f t="shared" si="15"/>
        <v>-6.808967739699856E-3</v>
      </c>
      <c r="I221" s="5">
        <f t="shared" si="16"/>
        <v>5.967237570645656E-3</v>
      </c>
    </row>
    <row r="222" spans="1:9" x14ac:dyDescent="0.25">
      <c r="A222" s="2">
        <v>40982</v>
      </c>
      <c r="B222" s="64">
        <v>31.59</v>
      </c>
      <c r="C222" s="64">
        <v>615.99</v>
      </c>
      <c r="D222" s="64">
        <v>577.17999999999995</v>
      </c>
      <c r="E222" s="65">
        <v>1394.28</v>
      </c>
      <c r="F222" s="5">
        <f t="shared" si="13"/>
        <v>2.8571428571428914E-3</v>
      </c>
      <c r="G222" s="5">
        <f t="shared" si="14"/>
        <v>-2.8974715918287375E-3</v>
      </c>
      <c r="H222" s="5">
        <f t="shared" si="15"/>
        <v>3.7794879171461515E-2</v>
      </c>
      <c r="I222" s="5">
        <f t="shared" si="16"/>
        <v>-1.1963179196963214E-3</v>
      </c>
    </row>
    <row r="223" spans="1:9" x14ac:dyDescent="0.25">
      <c r="A223" s="2">
        <v>40981</v>
      </c>
      <c r="B223" s="64">
        <v>31.5</v>
      </c>
      <c r="C223" s="64">
        <v>617.78</v>
      </c>
      <c r="D223" s="64">
        <v>556.16</v>
      </c>
      <c r="E223" s="65">
        <v>1395.95</v>
      </c>
      <c r="F223" s="5">
        <f t="shared" si="13"/>
        <v>1.9747491097442449E-2</v>
      </c>
      <c r="G223" s="5">
        <f t="shared" si="14"/>
        <v>2.0870858464843378E-2</v>
      </c>
      <c r="H223" s="5">
        <f t="shared" si="15"/>
        <v>2.918262736172017E-2</v>
      </c>
      <c r="I223" s="5">
        <f t="shared" si="16"/>
        <v>1.813155956210033E-2</v>
      </c>
    </row>
    <row r="224" spans="1:9" x14ac:dyDescent="0.25">
      <c r="A224" s="2">
        <v>40980</v>
      </c>
      <c r="B224" s="64">
        <v>30.89</v>
      </c>
      <c r="C224" s="64">
        <v>605.15</v>
      </c>
      <c r="D224" s="64">
        <v>540.39</v>
      </c>
      <c r="E224" s="65">
        <v>1371.09</v>
      </c>
      <c r="F224" s="5">
        <f t="shared" si="13"/>
        <v>1.6212710765239891E-3</v>
      </c>
      <c r="G224" s="5">
        <f t="shared" si="14"/>
        <v>8.1632653061223248E-3</v>
      </c>
      <c r="H224" s="5">
        <f t="shared" si="15"/>
        <v>1.251616046167392E-2</v>
      </c>
      <c r="I224" s="5">
        <f t="shared" si="16"/>
        <v>1.6048202966012504E-4</v>
      </c>
    </row>
    <row r="225" spans="1:9" x14ac:dyDescent="0.25">
      <c r="A225" s="2">
        <v>40977</v>
      </c>
      <c r="B225" s="64">
        <v>30.84</v>
      </c>
      <c r="C225" s="64">
        <v>600.25</v>
      </c>
      <c r="D225" s="64">
        <v>533.71</v>
      </c>
      <c r="E225" s="65">
        <v>1370.87</v>
      </c>
      <c r="F225" s="5">
        <f t="shared" si="13"/>
        <v>-6.480881399870686E-4</v>
      </c>
      <c r="G225" s="5">
        <f t="shared" si="14"/>
        <v>-1.1348288697829112E-2</v>
      </c>
      <c r="H225" s="5">
        <f t="shared" si="15"/>
        <v>5.8802465180272101E-3</v>
      </c>
      <c r="I225" s="5">
        <f t="shared" si="16"/>
        <v>3.6312787811787484E-3</v>
      </c>
    </row>
    <row r="226" spans="1:9" x14ac:dyDescent="0.25">
      <c r="A226" s="2">
        <v>40976</v>
      </c>
      <c r="B226" s="64">
        <v>30.86</v>
      </c>
      <c r="C226" s="64">
        <v>607.14</v>
      </c>
      <c r="D226" s="64">
        <v>530.59</v>
      </c>
      <c r="E226" s="65">
        <v>1365.91</v>
      </c>
      <c r="F226" s="5">
        <f t="shared" si="13"/>
        <v>5.2117263843647343E-3</v>
      </c>
      <c r="G226" s="5">
        <f t="shared" si="14"/>
        <v>5.6031641397491505E-4</v>
      </c>
      <c r="H226" s="5">
        <f t="shared" si="15"/>
        <v>2.1288472273016001E-2</v>
      </c>
      <c r="I226" s="5">
        <f t="shared" si="16"/>
        <v>9.8179102932804962E-3</v>
      </c>
    </row>
    <row r="227" spans="1:9" x14ac:dyDescent="0.25">
      <c r="A227" s="2">
        <v>40975</v>
      </c>
      <c r="B227" s="64">
        <v>30.7</v>
      </c>
      <c r="C227" s="64">
        <v>606.79999999999995</v>
      </c>
      <c r="D227" s="64">
        <v>519.53</v>
      </c>
      <c r="E227" s="65">
        <v>1352.63</v>
      </c>
      <c r="F227" s="5">
        <f t="shared" si="13"/>
        <v>8.8728228721655089E-3</v>
      </c>
      <c r="G227" s="5">
        <f t="shared" si="14"/>
        <v>3.041523406505986E-3</v>
      </c>
      <c r="H227" s="5">
        <f t="shared" si="15"/>
        <v>8.0907707422306352E-4</v>
      </c>
      <c r="I227" s="5">
        <f t="shared" si="16"/>
        <v>6.9006074321107391E-3</v>
      </c>
    </row>
    <row r="228" spans="1:9" x14ac:dyDescent="0.25">
      <c r="A228" s="2">
        <v>40974</v>
      </c>
      <c r="B228" s="64">
        <v>30.43</v>
      </c>
      <c r="C228" s="64">
        <v>604.96</v>
      </c>
      <c r="D228" s="64">
        <v>519.11</v>
      </c>
      <c r="E228" s="65">
        <v>1343.36</v>
      </c>
      <c r="F228" s="5">
        <f t="shared" si="13"/>
        <v>-7.501630789301994E-3</v>
      </c>
      <c r="G228" s="5">
        <f t="shared" si="14"/>
        <v>-1.5124135124135019E-2</v>
      </c>
      <c r="H228" s="5">
        <f t="shared" si="15"/>
        <v>-5.4411342082575365E-3</v>
      </c>
      <c r="I228" s="5">
        <f t="shared" si="16"/>
        <v>-1.5370181700908203E-2</v>
      </c>
    </row>
    <row r="229" spans="1:9" x14ac:dyDescent="0.25">
      <c r="A229" s="2">
        <v>40973</v>
      </c>
      <c r="B229" s="64">
        <v>30.66</v>
      </c>
      <c r="C229" s="64">
        <v>614.25</v>
      </c>
      <c r="D229" s="64">
        <v>521.95000000000005</v>
      </c>
      <c r="E229" s="65">
        <v>1364.33</v>
      </c>
      <c r="F229" s="5">
        <f t="shared" si="13"/>
        <v>-8.7293889427739746E-3</v>
      </c>
      <c r="G229" s="5">
        <f t="shared" si="14"/>
        <v>-1.1267605633802802E-2</v>
      </c>
      <c r="H229" s="5">
        <f t="shared" si="15"/>
        <v>-2.2052761747732852E-2</v>
      </c>
      <c r="I229" s="5">
        <f t="shared" si="16"/>
        <v>-3.8696582288648695E-3</v>
      </c>
    </row>
    <row r="230" spans="1:9" x14ac:dyDescent="0.25">
      <c r="A230" s="2">
        <v>40970</v>
      </c>
      <c r="B230" s="64">
        <v>30.93</v>
      </c>
      <c r="C230" s="64">
        <v>621.25</v>
      </c>
      <c r="D230" s="64">
        <v>533.72</v>
      </c>
      <c r="E230" s="65">
        <v>1369.63</v>
      </c>
      <c r="F230" s="5">
        <f t="shared" si="13"/>
        <v>-6.4246707356248045E-3</v>
      </c>
      <c r="G230" s="5">
        <f t="shared" si="14"/>
        <v>-1.8476863753212891E-3</v>
      </c>
      <c r="H230" s="5">
        <f t="shared" si="15"/>
        <v>1.3132715470338674E-3</v>
      </c>
      <c r="I230" s="5">
        <f t="shared" si="16"/>
        <v>-3.2457844828212012E-3</v>
      </c>
    </row>
    <row r="231" spans="1:9" x14ac:dyDescent="0.25">
      <c r="A231" s="2">
        <v>40969</v>
      </c>
      <c r="B231" s="64">
        <v>31.13</v>
      </c>
      <c r="C231" s="64">
        <v>622.4</v>
      </c>
      <c r="D231" s="64">
        <v>533.02</v>
      </c>
      <c r="E231" s="65">
        <v>1374.09</v>
      </c>
      <c r="F231" s="5">
        <f t="shared" si="13"/>
        <v>1.7320261437908435E-2</v>
      </c>
      <c r="G231" s="5">
        <f t="shared" si="14"/>
        <v>6.7124949454104854E-3</v>
      </c>
      <c r="H231" s="5">
        <f t="shared" si="15"/>
        <v>3.7474342315877429E-3</v>
      </c>
      <c r="I231" s="5">
        <f t="shared" si="16"/>
        <v>6.1581043875578168E-3</v>
      </c>
    </row>
    <row r="232" spans="1:9" x14ac:dyDescent="0.25">
      <c r="A232" s="2">
        <v>40968</v>
      </c>
      <c r="B232" s="64">
        <v>30.6</v>
      </c>
      <c r="C232" s="64">
        <v>618.25</v>
      </c>
      <c r="D232" s="64">
        <v>531.03</v>
      </c>
      <c r="E232" s="65">
        <v>1365.68</v>
      </c>
      <c r="F232" s="5">
        <f t="shared" si="13"/>
        <v>-4.2303937520338231E-3</v>
      </c>
      <c r="G232" s="5">
        <f t="shared" si="14"/>
        <v>-2.2639434660975954E-4</v>
      </c>
      <c r="H232" s="5">
        <f t="shared" si="15"/>
        <v>1.3126013545740722E-2</v>
      </c>
      <c r="I232" s="5">
        <f t="shared" si="16"/>
        <v>-4.736987858735775E-3</v>
      </c>
    </row>
    <row r="233" spans="1:9" x14ac:dyDescent="0.25">
      <c r="A233" s="2">
        <v>40967</v>
      </c>
      <c r="B233" s="64">
        <v>30.73</v>
      </c>
      <c r="C233" s="64">
        <v>618.39</v>
      </c>
      <c r="D233" s="64">
        <v>524.15</v>
      </c>
      <c r="E233" s="65">
        <v>1372.18</v>
      </c>
      <c r="F233" s="5">
        <f t="shared" si="13"/>
        <v>1.6876240900066231E-2</v>
      </c>
      <c r="G233" s="5">
        <f t="shared" si="14"/>
        <v>1.4902102378099968E-2</v>
      </c>
      <c r="H233" s="5">
        <f t="shared" si="15"/>
        <v>1.8340424705173719E-2</v>
      </c>
      <c r="I233" s="5">
        <f t="shared" si="16"/>
        <v>3.3562690572468412E-3</v>
      </c>
    </row>
    <row r="234" spans="1:9" x14ac:dyDescent="0.25">
      <c r="A234" s="2">
        <v>40966</v>
      </c>
      <c r="B234" s="64">
        <v>30.22</v>
      </c>
      <c r="C234" s="64">
        <v>609.30999999999995</v>
      </c>
      <c r="D234" s="64">
        <v>514.71</v>
      </c>
      <c r="E234" s="65">
        <v>1367.59</v>
      </c>
      <c r="F234" s="5">
        <f t="shared" si="13"/>
        <v>-4.2833607907744042E-3</v>
      </c>
      <c r="G234" s="5">
        <f t="shared" si="14"/>
        <v>-9.6737170027882957E-4</v>
      </c>
      <c r="H234" s="5">
        <f t="shared" si="15"/>
        <v>6.4133899067322364E-3</v>
      </c>
      <c r="I234" s="5">
        <f t="shared" si="16"/>
        <v>1.3545770058722706E-3</v>
      </c>
    </row>
    <row r="235" spans="1:9" x14ac:dyDescent="0.25">
      <c r="A235" s="2">
        <v>40963</v>
      </c>
      <c r="B235" s="64">
        <v>30.35</v>
      </c>
      <c r="C235" s="64">
        <v>609.9</v>
      </c>
      <c r="D235" s="64">
        <v>511.43</v>
      </c>
      <c r="E235" s="65">
        <v>1365.74</v>
      </c>
      <c r="F235" s="5">
        <f t="shared" si="13"/>
        <v>3.6375661375662727E-3</v>
      </c>
      <c r="G235" s="5">
        <f t="shared" si="14"/>
        <v>6.2529903812837961E-3</v>
      </c>
      <c r="H235" s="5">
        <f t="shared" si="15"/>
        <v>1.167091962890443E-2</v>
      </c>
      <c r="I235" s="5">
        <f t="shared" si="16"/>
        <v>1.6722162733047163E-3</v>
      </c>
    </row>
    <row r="236" spans="1:9" x14ac:dyDescent="0.25">
      <c r="A236" s="2">
        <v>40962</v>
      </c>
      <c r="B236" s="64">
        <v>30.24</v>
      </c>
      <c r="C236" s="64">
        <v>606.11</v>
      </c>
      <c r="D236" s="64">
        <v>505.53</v>
      </c>
      <c r="E236" s="65">
        <v>1363.46</v>
      </c>
      <c r="F236" s="5">
        <f t="shared" si="13"/>
        <v>2.9850746268655914E-3</v>
      </c>
      <c r="G236" s="5">
        <f t="shared" si="14"/>
        <v>-3.0101654768562858E-3</v>
      </c>
      <c r="H236" s="5">
        <f t="shared" si="15"/>
        <v>6.5306122448978154E-3</v>
      </c>
      <c r="I236" s="5">
        <f t="shared" si="16"/>
        <v>4.2720563322187211E-3</v>
      </c>
    </row>
    <row r="237" spans="1:9" x14ac:dyDescent="0.25">
      <c r="A237" s="2">
        <v>40961</v>
      </c>
      <c r="B237" s="64">
        <v>30.15</v>
      </c>
      <c r="C237" s="64">
        <v>607.94000000000005</v>
      </c>
      <c r="D237" s="64">
        <v>502.25</v>
      </c>
      <c r="E237" s="65">
        <v>1357.66</v>
      </c>
      <c r="F237" s="5">
        <f t="shared" si="13"/>
        <v>-5.2787858792477937E-3</v>
      </c>
      <c r="G237" s="5">
        <f t="shared" si="14"/>
        <v>-9.8697068403907906E-3</v>
      </c>
      <c r="H237" s="5">
        <f t="shared" si="15"/>
        <v>-3.5315358212804071E-3</v>
      </c>
      <c r="I237" s="5">
        <f t="shared" si="16"/>
        <v>-3.3401604745230129E-3</v>
      </c>
    </row>
    <row r="238" spans="1:9" x14ac:dyDescent="0.25">
      <c r="A238" s="2">
        <v>40960</v>
      </c>
      <c r="B238" s="64">
        <v>30.31</v>
      </c>
      <c r="C238" s="64">
        <v>614</v>
      </c>
      <c r="D238" s="64">
        <v>504.03</v>
      </c>
      <c r="E238" s="65">
        <v>1362.21</v>
      </c>
      <c r="F238" s="5">
        <f t="shared" si="13"/>
        <v>5.9741121805509945E-3</v>
      </c>
      <c r="G238" s="5">
        <f t="shared" si="14"/>
        <v>1.5480285789891468E-2</v>
      </c>
      <c r="H238" s="5">
        <f t="shared" si="15"/>
        <v>2.5368215477256095E-2</v>
      </c>
      <c r="I238" s="5">
        <f t="shared" si="16"/>
        <v>7.1993711569695584E-4</v>
      </c>
    </row>
    <row r="239" spans="1:9" x14ac:dyDescent="0.25">
      <c r="A239" s="2">
        <v>40956</v>
      </c>
      <c r="B239" s="64">
        <v>30.13</v>
      </c>
      <c r="C239" s="64">
        <v>604.64</v>
      </c>
      <c r="D239" s="64">
        <v>491.56</v>
      </c>
      <c r="E239" s="65">
        <v>1361.23</v>
      </c>
      <c r="F239" s="5">
        <f t="shared" si="13"/>
        <v>-1.3258203513424327E-3</v>
      </c>
      <c r="G239" s="5">
        <f t="shared" si="14"/>
        <v>-3.0996504649475343E-3</v>
      </c>
      <c r="H239" s="5">
        <f t="shared" si="15"/>
        <v>-1.8305705278143236E-4</v>
      </c>
      <c r="I239" s="5">
        <f t="shared" si="16"/>
        <v>2.348973520662101E-3</v>
      </c>
    </row>
    <row r="240" spans="1:9" x14ac:dyDescent="0.25">
      <c r="A240" s="2">
        <v>40955</v>
      </c>
      <c r="B240" s="64">
        <v>30.17</v>
      </c>
      <c r="C240" s="64">
        <v>606.52</v>
      </c>
      <c r="D240" s="64">
        <v>491.65</v>
      </c>
      <c r="E240" s="65">
        <v>1358.04</v>
      </c>
      <c r="F240" s="5">
        <f t="shared" si="13"/>
        <v>4.1422160856058099E-2</v>
      </c>
      <c r="G240" s="5">
        <f t="shared" si="14"/>
        <v>1.585309465618634E-3</v>
      </c>
      <c r="H240" s="5">
        <f t="shared" si="15"/>
        <v>9.113113441842291E-3</v>
      </c>
      <c r="I240" s="5">
        <f t="shared" si="16"/>
        <v>1.1025662023629534E-2</v>
      </c>
    </row>
    <row r="241" spans="1:9" x14ac:dyDescent="0.25">
      <c r="A241" s="2">
        <v>40954</v>
      </c>
      <c r="B241" s="64">
        <v>28.97</v>
      </c>
      <c r="C241" s="64">
        <v>605.55999999999995</v>
      </c>
      <c r="D241" s="64">
        <v>487.21</v>
      </c>
      <c r="E241" s="65">
        <v>1343.23</v>
      </c>
      <c r="F241" s="5">
        <f t="shared" si="13"/>
        <v>-6.5157750342935694E-3</v>
      </c>
      <c r="G241" s="5">
        <f t="shared" si="14"/>
        <v>-6.8879559170822446E-3</v>
      </c>
      <c r="H241" s="5">
        <f t="shared" si="15"/>
        <v>-2.3137844611528902E-2</v>
      </c>
      <c r="I241" s="5">
        <f t="shared" si="16"/>
        <v>-5.383191410588628E-3</v>
      </c>
    </row>
    <row r="242" spans="1:9" x14ac:dyDescent="0.25">
      <c r="A242" s="2">
        <v>40953</v>
      </c>
      <c r="B242" s="64">
        <v>29.16</v>
      </c>
      <c r="C242" s="64">
        <v>609.76</v>
      </c>
      <c r="D242" s="64">
        <v>498.75</v>
      </c>
      <c r="E242" s="65">
        <v>1350.5</v>
      </c>
      <c r="F242" s="5">
        <f t="shared" si="13"/>
        <v>-4.4383748719699634E-3</v>
      </c>
      <c r="G242" s="5">
        <f t="shared" si="14"/>
        <v>-3.9856256125450074E-3</v>
      </c>
      <c r="H242" s="5">
        <f t="shared" si="15"/>
        <v>1.3657703798549026E-2</v>
      </c>
      <c r="I242" s="5">
        <f t="shared" si="16"/>
        <v>-9.3950894013028474E-4</v>
      </c>
    </row>
    <row r="243" spans="1:9" x14ac:dyDescent="0.25">
      <c r="A243" s="2">
        <v>40952</v>
      </c>
      <c r="B243" s="64">
        <v>29.29</v>
      </c>
      <c r="C243" s="64">
        <v>612.20000000000005</v>
      </c>
      <c r="D243" s="64">
        <v>492.03</v>
      </c>
      <c r="E243" s="65">
        <v>1351.77</v>
      </c>
      <c r="F243" s="5">
        <f t="shared" si="13"/>
        <v>2.738788086271704E-3</v>
      </c>
      <c r="G243" s="5">
        <f t="shared" si="14"/>
        <v>1.0381079698305262E-2</v>
      </c>
      <c r="H243" s="5">
        <f t="shared" si="15"/>
        <v>1.8590208052996493E-2</v>
      </c>
      <c r="I243" s="5">
        <f t="shared" si="16"/>
        <v>6.8000357504616193E-3</v>
      </c>
    </row>
    <row r="244" spans="1:9" x14ac:dyDescent="0.25">
      <c r="A244" s="2">
        <v>40949</v>
      </c>
      <c r="B244" s="64">
        <v>29.21</v>
      </c>
      <c r="C244" s="64">
        <v>605.91</v>
      </c>
      <c r="D244" s="64">
        <v>483.05</v>
      </c>
      <c r="E244" s="65">
        <v>1342.64</v>
      </c>
      <c r="F244" s="5">
        <f t="shared" si="13"/>
        <v>-8.8225313878519396E-3</v>
      </c>
      <c r="G244" s="5">
        <f t="shared" si="14"/>
        <v>-9.0766362476696338E-3</v>
      </c>
      <c r="H244" s="5">
        <f t="shared" si="15"/>
        <v>5.1781275890627754E-4</v>
      </c>
      <c r="I244" s="5">
        <f t="shared" si="16"/>
        <v>-6.8863493472390847E-3</v>
      </c>
    </row>
    <row r="245" spans="1:9" x14ac:dyDescent="0.25">
      <c r="A245" s="2">
        <v>40948</v>
      </c>
      <c r="B245" s="64">
        <v>29.47</v>
      </c>
      <c r="C245" s="64">
        <v>611.46</v>
      </c>
      <c r="D245" s="64">
        <v>482.8</v>
      </c>
      <c r="E245" s="65">
        <v>1351.95</v>
      </c>
      <c r="F245" s="5">
        <f t="shared" si="13"/>
        <v>3.40483486550891E-3</v>
      </c>
      <c r="G245" s="5">
        <f t="shared" si="14"/>
        <v>2.63999344101018E-3</v>
      </c>
      <c r="H245" s="5">
        <f t="shared" si="15"/>
        <v>3.4586208374405292E-2</v>
      </c>
      <c r="I245" s="5">
        <f t="shared" si="16"/>
        <v>1.4741177516370829E-3</v>
      </c>
    </row>
    <row r="246" spans="1:9" x14ac:dyDescent="0.25">
      <c r="A246" s="2">
        <v>40947</v>
      </c>
      <c r="B246" s="64">
        <v>29.37</v>
      </c>
      <c r="C246" s="64">
        <v>609.85</v>
      </c>
      <c r="D246" s="64">
        <v>466.66</v>
      </c>
      <c r="E246" s="65">
        <v>1349.96</v>
      </c>
      <c r="F246" s="5">
        <f t="shared" si="13"/>
        <v>1.031991744066052E-2</v>
      </c>
      <c r="G246" s="5">
        <f t="shared" si="14"/>
        <v>5.0760584735567438E-3</v>
      </c>
      <c r="H246" s="5">
        <f t="shared" si="15"/>
        <v>1.6754907728173896E-2</v>
      </c>
      <c r="I246" s="5">
        <f t="shared" si="16"/>
        <v>2.1602761590142627E-3</v>
      </c>
    </row>
    <row r="247" spans="1:9" x14ac:dyDescent="0.25">
      <c r="A247" s="2">
        <v>40946</v>
      </c>
      <c r="B247" s="64">
        <v>29.07</v>
      </c>
      <c r="C247" s="64">
        <v>606.77</v>
      </c>
      <c r="D247" s="64">
        <v>458.97</v>
      </c>
      <c r="E247" s="65">
        <v>1347.05</v>
      </c>
      <c r="F247" s="5">
        <f t="shared" si="13"/>
        <v>4.8392671966817069E-3</v>
      </c>
      <c r="G247" s="5">
        <f t="shared" si="14"/>
        <v>-3.8089609088969301E-3</v>
      </c>
      <c r="H247" s="5">
        <f t="shared" si="15"/>
        <v>1.0479734043724376E-2</v>
      </c>
      <c r="I247" s="5">
        <f t="shared" si="16"/>
        <v>2.0233127282736074E-3</v>
      </c>
    </row>
    <row r="248" spans="1:9" x14ac:dyDescent="0.25">
      <c r="A248" s="2">
        <v>40945</v>
      </c>
      <c r="B248" s="64">
        <v>28.93</v>
      </c>
      <c r="C248" s="64">
        <v>609.09</v>
      </c>
      <c r="D248" s="64">
        <v>454.21</v>
      </c>
      <c r="E248" s="65">
        <v>1344.33</v>
      </c>
      <c r="F248" s="5">
        <f t="shared" si="13"/>
        <v>-1.035911602209949E-3</v>
      </c>
      <c r="G248" s="5">
        <f t="shared" si="14"/>
        <v>2.1397548337329875E-2</v>
      </c>
      <c r="H248" s="5">
        <f t="shared" si="15"/>
        <v>9.3106973023420192E-3</v>
      </c>
      <c r="I248" s="5">
        <f t="shared" si="16"/>
        <v>-4.2382333258994542E-4</v>
      </c>
    </row>
    <row r="249" spans="1:9" x14ac:dyDescent="0.25">
      <c r="A249" s="2">
        <v>40942</v>
      </c>
      <c r="B249" s="64">
        <v>28.96</v>
      </c>
      <c r="C249" s="64">
        <v>596.33000000000004</v>
      </c>
      <c r="D249" s="64">
        <v>450.02</v>
      </c>
      <c r="E249" s="65">
        <v>1344.9</v>
      </c>
      <c r="F249" s="5">
        <f t="shared" si="13"/>
        <v>9.4109445799930302E-3</v>
      </c>
      <c r="G249" s="5">
        <f t="shared" si="14"/>
        <v>1.9175881458187494E-2</v>
      </c>
      <c r="H249" s="5">
        <f t="shared" si="15"/>
        <v>1.0032544046683745E-2</v>
      </c>
      <c r="I249" s="5">
        <f t="shared" si="16"/>
        <v>1.4605368378170613E-2</v>
      </c>
    </row>
    <row r="250" spans="1:9" x14ac:dyDescent="0.25">
      <c r="A250" s="2">
        <v>40941</v>
      </c>
      <c r="B250" s="64">
        <v>28.69</v>
      </c>
      <c r="C250" s="64">
        <v>585.11</v>
      </c>
      <c r="D250" s="64">
        <v>445.55</v>
      </c>
      <c r="E250" s="65">
        <v>1325.54</v>
      </c>
      <c r="F250" s="5">
        <f t="shared" si="13"/>
        <v>2.0957038071953704E-3</v>
      </c>
      <c r="G250" s="5">
        <f t="shared" si="14"/>
        <v>7.3687653874627834E-3</v>
      </c>
      <c r="H250" s="5">
        <f t="shared" si="15"/>
        <v>-2.3510971786834256E-3</v>
      </c>
      <c r="I250" s="5">
        <f t="shared" si="16"/>
        <v>1.095091723372299E-3</v>
      </c>
    </row>
    <row r="251" spans="1:9" x14ac:dyDescent="0.25">
      <c r="A251" s="2">
        <v>40940</v>
      </c>
      <c r="B251" s="64">
        <v>28.63</v>
      </c>
      <c r="C251" s="64">
        <v>580.83000000000004</v>
      </c>
      <c r="D251" s="64">
        <v>446.6</v>
      </c>
      <c r="E251" s="65">
        <v>1324.09</v>
      </c>
      <c r="F251" s="5">
        <f t="shared" si="13"/>
        <v>1.2376237623762387E-2</v>
      </c>
      <c r="G251" s="5">
        <f t="shared" si="14"/>
        <v>1.2411439209805142E-3</v>
      </c>
      <c r="H251" s="5">
        <f t="shared" si="15"/>
        <v>-6.2656641604008634E-4</v>
      </c>
      <c r="I251" s="5">
        <f t="shared" si="16"/>
        <v>8.8996578813023142E-3</v>
      </c>
    </row>
    <row r="252" spans="1:9" x14ac:dyDescent="0.25">
      <c r="A252" s="2">
        <v>40939</v>
      </c>
      <c r="B252" s="64">
        <v>28.28</v>
      </c>
      <c r="C252" s="64">
        <v>580.11</v>
      </c>
      <c r="D252" s="64">
        <v>446.88</v>
      </c>
      <c r="E252" s="65">
        <v>1312.41</v>
      </c>
      <c r="F252" s="5">
        <f t="shared" si="13"/>
        <v>-2.8208744710859213E-3</v>
      </c>
      <c r="G252" s="5">
        <f t="shared" si="14"/>
        <v>4.1890979591130417E-3</v>
      </c>
      <c r="H252" s="5">
        <f t="shared" si="15"/>
        <v>7.6439153081242495E-3</v>
      </c>
      <c r="I252" s="5">
        <f t="shared" si="16"/>
        <v>-4.5696529348593362E-4</v>
      </c>
    </row>
    <row r="253" spans="1:9" x14ac:dyDescent="0.25">
      <c r="A253" s="2">
        <v>40938</v>
      </c>
      <c r="B253" s="64">
        <v>28.36</v>
      </c>
      <c r="C253" s="64">
        <v>577.69000000000005</v>
      </c>
      <c r="D253" s="64">
        <v>443.49</v>
      </c>
      <c r="E253" s="65">
        <v>1313.01</v>
      </c>
      <c r="F253" s="5">
        <f t="shared" si="13"/>
        <v>1.28571428571429E-2</v>
      </c>
      <c r="G253" s="5">
        <f t="shared" si="14"/>
        <v>-3.9484120142073698E-3</v>
      </c>
      <c r="H253" s="5">
        <f t="shared" si="15"/>
        <v>1.2811729240888026E-2</v>
      </c>
      <c r="I253" s="5">
        <f t="shared" si="16"/>
        <v>-2.5221638950718717E-3</v>
      </c>
    </row>
    <row r="254" spans="1:9" x14ac:dyDescent="0.25">
      <c r="A254" s="2">
        <v>40935</v>
      </c>
      <c r="B254" s="64">
        <v>28</v>
      </c>
      <c r="C254" s="64">
        <v>579.98</v>
      </c>
      <c r="D254" s="64">
        <v>437.88</v>
      </c>
      <c r="E254" s="65">
        <v>1316.33</v>
      </c>
      <c r="F254" s="5">
        <f t="shared" si="13"/>
        <v>-8.8495575221239076E-3</v>
      </c>
      <c r="G254" s="5">
        <f t="shared" si="14"/>
        <v>2.091181130082731E-2</v>
      </c>
      <c r="H254" s="5">
        <f t="shared" si="15"/>
        <v>5.9731666972984154E-3</v>
      </c>
      <c r="I254" s="5">
        <f t="shared" si="16"/>
        <v>-1.5928035618122394E-3</v>
      </c>
    </row>
    <row r="255" spans="1:9" x14ac:dyDescent="0.25">
      <c r="A255" s="2">
        <v>40934</v>
      </c>
      <c r="B255" s="64">
        <v>28.25</v>
      </c>
      <c r="C255" s="64">
        <v>568.1</v>
      </c>
      <c r="D255" s="64">
        <v>435.28</v>
      </c>
      <c r="E255" s="65">
        <v>1318.43</v>
      </c>
      <c r="F255" s="5">
        <f t="shared" si="13"/>
        <v>-2.1193924408335896E-3</v>
      </c>
      <c r="G255" s="5">
        <f t="shared" si="14"/>
        <v>-2.4407803473283085E-3</v>
      </c>
      <c r="H255" s="5">
        <f t="shared" si="15"/>
        <v>-4.5509639353260578E-3</v>
      </c>
      <c r="I255" s="5">
        <f t="shared" si="16"/>
        <v>-5.7538874560727482E-3</v>
      </c>
    </row>
    <row r="256" spans="1:9" x14ac:dyDescent="0.25">
      <c r="A256" s="2">
        <v>40933</v>
      </c>
      <c r="B256" s="64">
        <v>28.31</v>
      </c>
      <c r="C256" s="64">
        <v>569.49</v>
      </c>
      <c r="D256" s="64">
        <v>437.27</v>
      </c>
      <c r="E256" s="65">
        <v>1326.06</v>
      </c>
      <c r="F256" s="5">
        <f t="shared" si="13"/>
        <v>7.4733096085408679E-3</v>
      </c>
      <c r="G256" s="5">
        <f t="shared" si="14"/>
        <v>-1.9692561926565877E-2</v>
      </c>
      <c r="H256" s="5">
        <f t="shared" si="15"/>
        <v>6.2443812717156266E-2</v>
      </c>
      <c r="I256" s="5">
        <f t="shared" si="16"/>
        <v>8.6791161145551854E-3</v>
      </c>
    </row>
    <row r="257" spans="1:9" x14ac:dyDescent="0.25">
      <c r="A257" s="2">
        <v>40932</v>
      </c>
      <c r="B257" s="64">
        <v>28.1</v>
      </c>
      <c r="C257" s="64">
        <v>580.92999999999995</v>
      </c>
      <c r="D257" s="64">
        <v>411.57</v>
      </c>
      <c r="E257" s="65">
        <v>1314.65</v>
      </c>
      <c r="F257" s="5">
        <f t="shared" si="13"/>
        <v>-1.3342696629213502E-2</v>
      </c>
      <c r="G257" s="5">
        <f t="shared" si="14"/>
        <v>-7.8391856811039773E-3</v>
      </c>
      <c r="H257" s="5">
        <f t="shared" si="15"/>
        <v>-1.6371110367573327E-2</v>
      </c>
      <c r="I257" s="5">
        <f t="shared" si="16"/>
        <v>-1.0258358662613709E-3</v>
      </c>
    </row>
    <row r="258" spans="1:9" x14ac:dyDescent="0.25">
      <c r="A258" s="2">
        <v>40931</v>
      </c>
      <c r="B258" s="64">
        <v>28.48</v>
      </c>
      <c r="C258" s="64">
        <v>585.52</v>
      </c>
      <c r="D258" s="64">
        <v>418.42</v>
      </c>
      <c r="E258" s="65">
        <v>1316</v>
      </c>
      <c r="F258" s="5">
        <f t="shared" si="13"/>
        <v>7.027406886859211E-4</v>
      </c>
      <c r="G258" s="5">
        <f t="shared" si="14"/>
        <v>-8.0206146862582539E-4</v>
      </c>
      <c r="H258" s="5">
        <f t="shared" si="15"/>
        <v>1.6915374520002135E-2</v>
      </c>
      <c r="I258" s="5">
        <f t="shared" si="16"/>
        <v>4.7134668308768113E-4</v>
      </c>
    </row>
    <row r="259" spans="1:9" x14ac:dyDescent="0.25">
      <c r="A259" s="2">
        <v>40928</v>
      </c>
      <c r="B259" s="64">
        <v>28.46</v>
      </c>
      <c r="C259" s="64">
        <v>585.99</v>
      </c>
      <c r="D259" s="64">
        <v>411.46</v>
      </c>
      <c r="E259" s="65">
        <v>1315.38</v>
      </c>
      <c r="F259" s="5">
        <f t="shared" si="13"/>
        <v>5.6813962124025341E-2</v>
      </c>
      <c r="G259" s="5">
        <f t="shared" si="14"/>
        <v>-8.3775036352549459E-2</v>
      </c>
      <c r="H259" s="5">
        <f t="shared" si="15"/>
        <v>-1.743241952430985E-2</v>
      </c>
      <c r="I259" s="5">
        <f t="shared" si="16"/>
        <v>6.6945606694579496E-4</v>
      </c>
    </row>
    <row r="260" spans="1:9" x14ac:dyDescent="0.25">
      <c r="A260" s="2">
        <v>40927</v>
      </c>
      <c r="B260" s="64">
        <v>26.93</v>
      </c>
      <c r="C260" s="64">
        <v>639.57000000000005</v>
      </c>
      <c r="D260" s="64">
        <v>418.76</v>
      </c>
      <c r="E260" s="65">
        <v>1314.5</v>
      </c>
      <c r="F260" s="5">
        <f t="shared" si="13"/>
        <v>-4.0680473372780579E-3</v>
      </c>
      <c r="G260" s="5">
        <f t="shared" si="14"/>
        <v>1.0522823150211025E-2</v>
      </c>
      <c r="H260" s="5">
        <f t="shared" si="15"/>
        <v>-3.1659882406150919E-3</v>
      </c>
      <c r="I260" s="5">
        <f t="shared" si="16"/>
        <v>4.9386868903091852E-3</v>
      </c>
    </row>
    <row r="261" spans="1:9" x14ac:dyDescent="0.25">
      <c r="A261" s="2">
        <v>40926</v>
      </c>
      <c r="B261" s="64">
        <v>27.04</v>
      </c>
      <c r="C261" s="64">
        <v>632.91</v>
      </c>
      <c r="D261" s="64">
        <v>420.09</v>
      </c>
      <c r="E261" s="65">
        <v>1308.04</v>
      </c>
      <c r="F261" s="5">
        <f t="shared" si="13"/>
        <v>-1.1082379017363087E-3</v>
      </c>
      <c r="G261" s="5">
        <f t="shared" si="14"/>
        <v>6.8885424289668595E-3</v>
      </c>
      <c r="H261" s="5">
        <f t="shared" si="15"/>
        <v>1.0390360054838066E-2</v>
      </c>
      <c r="I261" s="5">
        <f t="shared" si="16"/>
        <v>1.1107933244181245E-2</v>
      </c>
    </row>
    <row r="262" spans="1:9" x14ac:dyDescent="0.25">
      <c r="A262" s="2">
        <v>40925</v>
      </c>
      <c r="B262" s="64">
        <v>27.07</v>
      </c>
      <c r="C262" s="64">
        <v>628.58000000000004</v>
      </c>
      <c r="D262" s="64">
        <v>415.77</v>
      </c>
      <c r="E262" s="65">
        <v>1293.67</v>
      </c>
      <c r="F262" s="5">
        <f t="shared" si="13"/>
        <v>3.695491500370629E-4</v>
      </c>
      <c r="G262" s="5">
        <f t="shared" si="14"/>
        <v>5.7440919054705386E-3</v>
      </c>
      <c r="H262" s="5">
        <f t="shared" si="15"/>
        <v>1.1655068373156663E-2</v>
      </c>
      <c r="I262" s="5">
        <f t="shared" si="16"/>
        <v>3.552893901899834E-3</v>
      </c>
    </row>
    <row r="263" spans="1:9" x14ac:dyDescent="0.25">
      <c r="A263" s="2">
        <v>40921</v>
      </c>
      <c r="B263" s="64">
        <v>27.06</v>
      </c>
      <c r="C263" s="64">
        <v>624.99</v>
      </c>
      <c r="D263" s="64">
        <v>410.98</v>
      </c>
      <c r="E263" s="65">
        <v>1289.0899999999999</v>
      </c>
      <c r="F263" s="5">
        <f t="shared" si="13"/>
        <v>8.9485458612974522E-3</v>
      </c>
      <c r="G263" s="5">
        <f t="shared" si="14"/>
        <v>-7.3851724795120921E-3</v>
      </c>
      <c r="H263" s="5">
        <f t="shared" si="15"/>
        <v>-3.757302499212023E-3</v>
      </c>
      <c r="I263" s="5">
        <f t="shared" si="16"/>
        <v>-4.9478965650329165E-3</v>
      </c>
    </row>
    <row r="264" spans="1:9" x14ac:dyDescent="0.25">
      <c r="A264" s="2">
        <v>40920</v>
      </c>
      <c r="B264" s="64">
        <v>26.82</v>
      </c>
      <c r="C264" s="64">
        <v>629.64</v>
      </c>
      <c r="D264" s="64">
        <v>412.53</v>
      </c>
      <c r="E264" s="65">
        <v>1295.5</v>
      </c>
      <c r="F264" s="5">
        <f t="shared" si="13"/>
        <v>1.0169491525423791E-2</v>
      </c>
      <c r="G264" s="5">
        <f t="shared" si="14"/>
        <v>5.8789699022301356E-3</v>
      </c>
      <c r="H264" s="5">
        <f t="shared" si="15"/>
        <v>-2.7558198564073821E-3</v>
      </c>
      <c r="I264" s="5">
        <f t="shared" si="16"/>
        <v>2.3365932161425462E-3</v>
      </c>
    </row>
    <row r="265" spans="1:9" x14ac:dyDescent="0.25">
      <c r="A265" s="2">
        <v>40919</v>
      </c>
      <c r="B265" s="64">
        <v>26.55</v>
      </c>
      <c r="C265" s="64">
        <v>625.96</v>
      </c>
      <c r="D265" s="64">
        <v>413.67</v>
      </c>
      <c r="E265" s="65">
        <v>1292.48</v>
      </c>
      <c r="F265" s="5">
        <f t="shared" si="13"/>
        <v>-4.4994375703037992E-3</v>
      </c>
      <c r="G265" s="5">
        <f t="shared" si="14"/>
        <v>4.5254677921495734E-3</v>
      </c>
      <c r="H265" s="5">
        <f t="shared" si="15"/>
        <v>-1.6170294926870499E-3</v>
      </c>
      <c r="I265" s="5">
        <f t="shared" si="16"/>
        <v>3.0957835428147007E-4</v>
      </c>
    </row>
    <row r="266" spans="1:9" x14ac:dyDescent="0.25">
      <c r="A266" s="2">
        <v>40918</v>
      </c>
      <c r="B266" s="64">
        <v>26.67</v>
      </c>
      <c r="C266" s="64">
        <v>623.14</v>
      </c>
      <c r="D266" s="64">
        <v>414.34</v>
      </c>
      <c r="E266" s="65">
        <v>1292.08</v>
      </c>
      <c r="F266" s="5">
        <f t="shared" si="13"/>
        <v>3.7636432066241454E-3</v>
      </c>
      <c r="G266" s="5">
        <f t="shared" si="14"/>
        <v>1.092439674838408E-3</v>
      </c>
      <c r="H266" s="5">
        <f t="shared" si="15"/>
        <v>3.5847502785446572E-3</v>
      </c>
      <c r="I266" s="5">
        <f t="shared" si="16"/>
        <v>8.8857655969389882E-3</v>
      </c>
    </row>
    <row r="267" spans="1:9" x14ac:dyDescent="0.25">
      <c r="A267" s="2">
        <v>40917</v>
      </c>
      <c r="B267" s="64">
        <v>26.57</v>
      </c>
      <c r="C267" s="64">
        <v>622.46</v>
      </c>
      <c r="D267" s="64">
        <v>412.86</v>
      </c>
      <c r="E267" s="65">
        <v>1280.7</v>
      </c>
      <c r="F267" s="5">
        <f t="shared" si="13"/>
        <v>-1.3001485884101105E-2</v>
      </c>
      <c r="G267" s="5">
        <f t="shared" si="14"/>
        <v>-4.239869542475605E-2</v>
      </c>
      <c r="H267" s="5">
        <f t="shared" si="15"/>
        <v>-1.5960533952408262E-3</v>
      </c>
      <c r="I267" s="5">
        <f t="shared" si="16"/>
        <v>2.261682096712514E-3</v>
      </c>
    </row>
    <row r="268" spans="1:9" x14ac:dyDescent="0.25">
      <c r="A268" s="2">
        <v>40914</v>
      </c>
      <c r="B268" s="64">
        <v>26.92</v>
      </c>
      <c r="C268" s="64">
        <v>650.02</v>
      </c>
      <c r="D268" s="64">
        <v>413.52</v>
      </c>
      <c r="E268" s="65">
        <v>1277.81</v>
      </c>
      <c r="F268" s="5">
        <f t="shared" si="13"/>
        <v>1.546586193889099E-2</v>
      </c>
      <c r="G268" s="5">
        <f t="shared" si="14"/>
        <v>-1.3641674633161904E-2</v>
      </c>
      <c r="H268" s="5">
        <f t="shared" si="15"/>
        <v>1.0458410712540278E-2</v>
      </c>
      <c r="I268" s="5">
        <f t="shared" si="16"/>
        <v>-2.5369615786926536E-3</v>
      </c>
    </row>
    <row r="269" spans="1:9" x14ac:dyDescent="0.25">
      <c r="A269" s="2">
        <v>40913</v>
      </c>
      <c r="B269" s="64">
        <v>26.51</v>
      </c>
      <c r="C269" s="64">
        <v>659.01</v>
      </c>
      <c r="D269" s="64">
        <v>409.24</v>
      </c>
      <c r="E269" s="65">
        <v>1281.06</v>
      </c>
      <c r="F269" s="5">
        <f t="shared" si="13"/>
        <v>1.0289634146341653E-2</v>
      </c>
      <c r="G269" s="5">
        <f t="shared" si="14"/>
        <v>-1.3871431136649237E-2</v>
      </c>
      <c r="H269" s="5">
        <f t="shared" si="15"/>
        <v>1.109326744904271E-2</v>
      </c>
      <c r="I269" s="5">
        <f t="shared" si="16"/>
        <v>2.9437093869881803E-3</v>
      </c>
    </row>
    <row r="270" spans="1:9" x14ac:dyDescent="0.25">
      <c r="A270" s="2">
        <v>40912</v>
      </c>
      <c r="B270" s="64">
        <v>26.24</v>
      </c>
      <c r="C270" s="64">
        <v>668.28</v>
      </c>
      <c r="D270" s="64">
        <v>404.75</v>
      </c>
      <c r="E270" s="65">
        <v>1277.3</v>
      </c>
      <c r="F270" s="5">
        <f t="shared" si="13"/>
        <v>2.3400936037441422E-2</v>
      </c>
      <c r="G270" s="5">
        <f t="shared" si="14"/>
        <v>4.3131302505221569E-3</v>
      </c>
      <c r="H270" s="5">
        <f t="shared" si="15"/>
        <v>5.3902329971682317E-3</v>
      </c>
      <c r="I270" s="5">
        <f t="shared" si="16"/>
        <v>1.8793165552133395E-4</v>
      </c>
    </row>
    <row r="271" spans="1:9" x14ac:dyDescent="0.25">
      <c r="A271" s="2">
        <v>40911</v>
      </c>
      <c r="B271" s="64">
        <v>25.64</v>
      </c>
      <c r="C271" s="64">
        <v>665.41</v>
      </c>
      <c r="D271" s="64">
        <v>402.58</v>
      </c>
      <c r="E271" s="65">
        <v>1277.06</v>
      </c>
      <c r="F271" s="5"/>
      <c r="G271" s="5"/>
      <c r="H271" s="5"/>
      <c r="I271" s="5"/>
    </row>
  </sheetData>
  <mergeCells count="10">
    <mergeCell ref="F20:I20"/>
    <mergeCell ref="B20:E20"/>
    <mergeCell ref="B2:E2"/>
    <mergeCell ref="B16:E16"/>
    <mergeCell ref="F2:I2"/>
    <mergeCell ref="B6:E6"/>
    <mergeCell ref="F6:I6"/>
    <mergeCell ref="F10:I10"/>
    <mergeCell ref="B10:E10"/>
    <mergeCell ref="F16:I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29"/>
  <sheetViews>
    <sheetView tabSelected="1" workbookViewId="0">
      <selection activeCell="O20" sqref="O20"/>
    </sheetView>
  </sheetViews>
  <sheetFormatPr defaultRowHeight="15" x14ac:dyDescent="0.25"/>
  <cols>
    <col min="1" max="1" width="1.28515625" customWidth="1"/>
    <col min="2" max="4" width="10.140625" customWidth="1"/>
    <col min="5" max="5" width="5.28515625" customWidth="1"/>
    <col min="6" max="6" width="11.28515625" customWidth="1"/>
    <col min="8" max="8" width="11.140625" customWidth="1"/>
    <col min="9" max="10" width="12.7109375" customWidth="1"/>
    <col min="11" max="12" width="9.140625" customWidth="1"/>
    <col min="13" max="13" width="3.140625" customWidth="1"/>
    <col min="15" max="15" width="14.28515625" customWidth="1"/>
    <col min="16" max="16" width="17.28515625" customWidth="1"/>
  </cols>
  <sheetData>
    <row r="1" spans="2:26" ht="6" customHeight="1" thickBot="1" x14ac:dyDescent="0.3"/>
    <row r="2" spans="2:26" x14ac:dyDescent="0.25">
      <c r="B2" s="79" t="s">
        <v>17</v>
      </c>
      <c r="C2" s="80"/>
      <c r="D2" s="81"/>
      <c r="F2" s="79" t="s">
        <v>18</v>
      </c>
      <c r="G2" s="80"/>
      <c r="H2" s="81"/>
    </row>
    <row r="3" spans="2:26" x14ac:dyDescent="0.25">
      <c r="B3" s="9" t="s">
        <v>4</v>
      </c>
      <c r="C3" s="10" t="s">
        <v>5</v>
      </c>
      <c r="D3" s="11" t="s">
        <v>6</v>
      </c>
      <c r="F3" s="9" t="s">
        <v>4</v>
      </c>
      <c r="G3" s="10" t="s">
        <v>5</v>
      </c>
      <c r="H3" s="11" t="s">
        <v>6</v>
      </c>
    </row>
    <row r="4" spans="2:26" ht="15.75" thickBot="1" x14ac:dyDescent="0.3">
      <c r="B4" s="44">
        <v>0.16</v>
      </c>
      <c r="C4" s="45">
        <v>0.14000000000000001</v>
      </c>
      <c r="D4" s="46">
        <v>0.12</v>
      </c>
      <c r="F4" s="44">
        <f>'Data and Stats'!F18</f>
        <v>7.5301833603071189E-2</v>
      </c>
      <c r="G4" s="45">
        <f>'Data and Stats'!G18</f>
        <v>6.1101226643097625E-2</v>
      </c>
      <c r="H4" s="46">
        <f>'Data and Stats'!H18</f>
        <v>8.6145944021874823E-2</v>
      </c>
    </row>
    <row r="5" spans="2:26" ht="15.75" thickBot="1" x14ac:dyDescent="0.3">
      <c r="G5" s="19"/>
      <c r="H5" s="19"/>
      <c r="I5" s="19"/>
    </row>
    <row r="6" spans="2:26" x14ac:dyDescent="0.25">
      <c r="B6" s="79" t="s">
        <v>22</v>
      </c>
      <c r="C6" s="80"/>
      <c r="D6" s="81"/>
      <c r="F6" s="79" t="s">
        <v>14</v>
      </c>
      <c r="G6" s="80"/>
      <c r="H6" s="80"/>
      <c r="I6" s="81"/>
    </row>
    <row r="7" spans="2:26" x14ac:dyDescent="0.25">
      <c r="B7" s="9" t="s">
        <v>4</v>
      </c>
      <c r="C7" s="10" t="s">
        <v>5</v>
      </c>
      <c r="D7" s="11" t="s">
        <v>6</v>
      </c>
      <c r="F7" s="9"/>
      <c r="G7" s="10" t="s">
        <v>4</v>
      </c>
      <c r="H7" s="10" t="s">
        <v>5</v>
      </c>
      <c r="I7" s="11" t="s">
        <v>6</v>
      </c>
    </row>
    <row r="8" spans="2:26" ht="15.75" thickBot="1" x14ac:dyDescent="0.3">
      <c r="B8" s="8">
        <f>B4*0.2+F4*0.8</f>
        <v>9.2241466882456963E-2</v>
      </c>
      <c r="C8" s="8">
        <f t="shared" ref="C8:D8" si="0">C4*0.2+G4*0.8</f>
        <v>7.6880981314478097E-2</v>
      </c>
      <c r="D8" s="8">
        <f t="shared" si="0"/>
        <v>9.2916755217499869E-2</v>
      </c>
      <c r="F8" s="9" t="s">
        <v>4</v>
      </c>
      <c r="G8" s="47">
        <f>'Data and Stats'!G12</f>
        <v>4.1931536724738476E-2</v>
      </c>
      <c r="H8" s="47">
        <f>'Data and Stats'!H12</f>
        <v>8.8756706973974597E-3</v>
      </c>
      <c r="I8" s="48">
        <f>'Data and Stats'!I12</f>
        <v>1.6524105518500198E-2</v>
      </c>
    </row>
    <row r="9" spans="2:26" ht="15.75" thickBot="1" x14ac:dyDescent="0.3">
      <c r="F9" s="9" t="s">
        <v>5</v>
      </c>
      <c r="G9" s="47">
        <f>'Data and Stats'!G13</f>
        <v>8.8756706973974597E-3</v>
      </c>
      <c r="H9" s="47">
        <f>'Data and Stats'!H13</f>
        <v>5.11539875595887E-2</v>
      </c>
      <c r="I9" s="48">
        <f>'Data and Stats'!I13</f>
        <v>2.5404816764603287E-2</v>
      </c>
    </row>
    <row r="10" spans="2:26" ht="15.75" thickBot="1" x14ac:dyDescent="0.3">
      <c r="F10" s="18" t="s">
        <v>6</v>
      </c>
      <c r="G10" s="49">
        <f>'Data and Stats'!G14</f>
        <v>1.6524105518500198E-2</v>
      </c>
      <c r="H10" s="49">
        <f>'Data and Stats'!H14</f>
        <v>2.5404816764603287E-2</v>
      </c>
      <c r="I10" s="50">
        <f>'Data and Stats'!I14</f>
        <v>8.5976783849076338E-2</v>
      </c>
      <c r="N10" s="51" t="s">
        <v>33</v>
      </c>
      <c r="O10" s="51"/>
      <c r="P10" s="51"/>
      <c r="Q10" s="51" t="s">
        <v>39</v>
      </c>
      <c r="R10" s="51"/>
      <c r="S10" s="51"/>
      <c r="T10" s="51"/>
      <c r="V10" s="79" t="s">
        <v>14</v>
      </c>
      <c r="W10" s="80"/>
      <c r="X10" s="80"/>
      <c r="Y10" s="81"/>
      <c r="Z10" s="22"/>
    </row>
    <row r="11" spans="2:26" ht="15.75" thickBot="1" x14ac:dyDescent="0.3">
      <c r="N11" s="51"/>
      <c r="O11" s="51" t="s">
        <v>27</v>
      </c>
      <c r="P11" s="51"/>
      <c r="Q11" s="51" t="s">
        <v>38</v>
      </c>
      <c r="R11" s="51"/>
      <c r="S11" s="51"/>
      <c r="T11" s="51"/>
      <c r="V11" s="9"/>
      <c r="W11" s="10" t="s">
        <v>4</v>
      </c>
      <c r="X11" s="10" t="s">
        <v>5</v>
      </c>
      <c r="Y11" s="11" t="s">
        <v>6</v>
      </c>
      <c r="Z11" s="87" t="s">
        <v>44</v>
      </c>
    </row>
    <row r="12" spans="2:26" ht="18.75" thickBot="1" x14ac:dyDescent="0.4">
      <c r="B12" s="26"/>
      <c r="C12" s="27" t="s">
        <v>24</v>
      </c>
      <c r="D12" s="28">
        <v>0.01</v>
      </c>
      <c r="N12" s="52" t="s">
        <v>21</v>
      </c>
      <c r="O12" s="70">
        <v>0.56912459169146001</v>
      </c>
      <c r="P12" s="51"/>
      <c r="Q12" s="29">
        <v>0.16513639135794514</v>
      </c>
      <c r="R12" s="56" t="s">
        <v>1</v>
      </c>
      <c r="S12" s="56"/>
      <c r="T12" s="57"/>
      <c r="V12" s="9" t="s">
        <v>4</v>
      </c>
      <c r="W12" s="47">
        <f>'Data and Stats'!G12</f>
        <v>4.1931536724738476E-2</v>
      </c>
      <c r="X12" s="47">
        <f>'Data and Stats'!H12</f>
        <v>8.8756706973974597E-3</v>
      </c>
      <c r="Y12" s="48">
        <f>'Data and Stats'!I12</f>
        <v>1.6524105518500198E-2</v>
      </c>
      <c r="Z12" s="22">
        <v>0</v>
      </c>
    </row>
    <row r="13" spans="2:26" ht="18.75" thickBot="1" x14ac:dyDescent="0.4">
      <c r="N13" s="52" t="s">
        <v>20</v>
      </c>
      <c r="O13" s="71">
        <v>0.2877583510693707</v>
      </c>
      <c r="P13" s="51"/>
      <c r="Q13" s="30">
        <v>8.7918004403436528E-2</v>
      </c>
      <c r="R13" s="51" t="s">
        <v>0</v>
      </c>
      <c r="S13" s="51"/>
      <c r="T13" s="59"/>
      <c r="V13" s="9" t="s">
        <v>5</v>
      </c>
      <c r="W13" s="47">
        <f>'Data and Stats'!G13</f>
        <v>8.8756706973974597E-3</v>
      </c>
      <c r="X13" s="47">
        <f>'Data and Stats'!H13</f>
        <v>5.11539875595887E-2</v>
      </c>
      <c r="Y13" s="48">
        <f>'Data and Stats'!I13</f>
        <v>2.5404816764603287E-2</v>
      </c>
      <c r="Z13" s="22">
        <v>0</v>
      </c>
    </row>
    <row r="14" spans="2:26" ht="18.75" thickBot="1" x14ac:dyDescent="0.4">
      <c r="C14" s="32"/>
      <c r="D14" s="35" t="s">
        <v>29</v>
      </c>
      <c r="F14" s="29" cm="1">
        <f t="array" ref="F14">SQRT(MMULT(MMULT(TRANSPOSE($D$15:$D$17), $G$8:$I$10), $D$15:$D$17))</f>
        <v>0.16513639456483739</v>
      </c>
      <c r="G14" s="20" t="s">
        <v>1</v>
      </c>
      <c r="H14" s="20"/>
      <c r="I14" s="21"/>
      <c r="N14" s="52" t="s">
        <v>19</v>
      </c>
      <c r="O14" s="72">
        <v>0.14311705982585832</v>
      </c>
      <c r="P14" s="51"/>
      <c r="Q14" s="31">
        <v>0.47184029978312647</v>
      </c>
      <c r="R14" s="60" t="s">
        <v>23</v>
      </c>
      <c r="S14" s="60"/>
      <c r="T14" s="61"/>
      <c r="V14" s="18" t="s">
        <v>6</v>
      </c>
      <c r="W14" s="49">
        <f>'Data and Stats'!G14</f>
        <v>1.6524105518500198E-2</v>
      </c>
      <c r="X14" s="49">
        <f>'Data and Stats'!H14</f>
        <v>2.5404816764603287E-2</v>
      </c>
      <c r="Y14" s="50">
        <f>'Data and Stats'!I14</f>
        <v>8.5976783849076338E-2</v>
      </c>
      <c r="Z14" s="22">
        <v>0</v>
      </c>
    </row>
    <row r="15" spans="2:26" ht="18" x14ac:dyDescent="0.35">
      <c r="C15" s="33" t="s">
        <v>21</v>
      </c>
      <c r="D15" s="37">
        <v>0.56912466712127896</v>
      </c>
      <c r="F15" s="30" cm="1">
        <f t="array" ref="F15">SUMPRODUCT($D$15:$D$17, TRANSPOSE($B$8:$D$8))</f>
        <v>8.7918005995938839E-2</v>
      </c>
      <c r="G15" s="22" t="s">
        <v>0</v>
      </c>
      <c r="H15" s="22"/>
      <c r="I15" s="23"/>
      <c r="J15" s="82"/>
      <c r="N15" s="53" t="s">
        <v>34</v>
      </c>
      <c r="O15" s="51"/>
      <c r="P15" s="51"/>
      <c r="Q15" s="51"/>
      <c r="R15" s="51"/>
      <c r="S15" s="51"/>
      <c r="T15" s="51"/>
      <c r="V15" s="9" t="s">
        <v>44</v>
      </c>
      <c r="W15" s="22">
        <v>0</v>
      </c>
      <c r="X15" s="22">
        <v>0</v>
      </c>
      <c r="Y15" s="22">
        <v>0</v>
      </c>
      <c r="Z15" s="22">
        <v>0</v>
      </c>
    </row>
    <row r="16" spans="2:26" ht="18.75" thickBot="1" x14ac:dyDescent="0.4">
      <c r="C16" s="33" t="s">
        <v>20</v>
      </c>
      <c r="D16" s="38">
        <v>0.28775829457647145</v>
      </c>
      <c r="F16" s="31">
        <f>($F$15-$D$12)/$F$14</f>
        <v>0.47184030026370688</v>
      </c>
      <c r="G16" s="24" t="s">
        <v>23</v>
      </c>
      <c r="H16" s="24"/>
      <c r="I16" s="25"/>
      <c r="N16" s="51"/>
      <c r="O16" s="51"/>
      <c r="P16" s="51"/>
    </row>
    <row r="17" spans="3:24" ht="18.75" thickBot="1" x14ac:dyDescent="0.4">
      <c r="C17" s="33" t="s">
        <v>19</v>
      </c>
      <c r="D17" s="39">
        <v>0.14311704882649323</v>
      </c>
      <c r="N17" s="53" t="s">
        <v>42</v>
      </c>
      <c r="O17" s="51"/>
      <c r="P17" s="51"/>
      <c r="R17" s="32"/>
      <c r="S17" s="35" t="s">
        <v>29</v>
      </c>
      <c r="U17" s="29" cm="1">
        <f t="array" ref="U17">SQRT(MMULT(MMULT(TRANSPOSE($S$18:$S$21), $W$12:$Z$15), $S$18:$S$21))</f>
        <v>0.17650005037224201</v>
      </c>
      <c r="V17" s="20" t="s">
        <v>1</v>
      </c>
      <c r="W17" s="20"/>
      <c r="X17" s="21"/>
    </row>
    <row r="18" spans="3:24" ht="18.75" thickBot="1" x14ac:dyDescent="0.4">
      <c r="C18" s="34" t="s">
        <v>25</v>
      </c>
      <c r="D18" s="36">
        <f>SUM(D15:D17)</f>
        <v>1.0000000105242437</v>
      </c>
      <c r="F18" s="51" t="s">
        <v>30</v>
      </c>
      <c r="G18" s="51"/>
      <c r="H18" s="51"/>
      <c r="I18" s="51" t="s">
        <v>32</v>
      </c>
      <c r="J18" s="51"/>
      <c r="K18" s="51"/>
      <c r="L18" s="51"/>
      <c r="N18" s="52" t="s">
        <v>40</v>
      </c>
      <c r="O18" s="73">
        <f>I19/Q12</f>
        <v>1.0688142913865442</v>
      </c>
      <c r="P18" s="51"/>
      <c r="R18" s="33" t="s">
        <v>21</v>
      </c>
      <c r="S18" s="37">
        <v>0.60828621321119247</v>
      </c>
      <c r="U18" s="30">
        <f>SUMPRODUCT($S$18:$S$21,TRANSPOSE(_xlfn.HSTACK($B$8:$D$8,$D$12)))</f>
        <v>9.3279836651348702E-2</v>
      </c>
      <c r="V18" s="22" t="s">
        <v>0</v>
      </c>
      <c r="W18" s="22"/>
      <c r="X18" s="23"/>
    </row>
    <row r="19" spans="3:24" ht="18.75" thickBot="1" x14ac:dyDescent="0.4">
      <c r="F19" s="54"/>
      <c r="G19" s="55" t="s">
        <v>16</v>
      </c>
      <c r="H19" s="51"/>
      <c r="I19" s="29">
        <v>0.17650013511137316</v>
      </c>
      <c r="J19" s="56" t="s">
        <v>1</v>
      </c>
      <c r="K19" s="56"/>
      <c r="L19" s="57"/>
      <c r="N19" s="52" t="s">
        <v>41</v>
      </c>
      <c r="O19" s="74">
        <f>1-O18</f>
        <v>-6.8814291386544157E-2</v>
      </c>
      <c r="P19" s="51"/>
      <c r="R19" s="33" t="s">
        <v>20</v>
      </c>
      <c r="S19" s="38">
        <v>0.30755975585133905</v>
      </c>
      <c r="U19" s="31">
        <f>(U18-D12)/U17</f>
        <v>0.47184029962433399</v>
      </c>
      <c r="V19" s="24" t="s">
        <v>23</v>
      </c>
      <c r="W19" s="24"/>
      <c r="X19" s="25"/>
    </row>
    <row r="20" spans="3:24" ht="18.75" thickBot="1" x14ac:dyDescent="0.4">
      <c r="F20" s="58" t="s">
        <v>21</v>
      </c>
      <c r="G20" s="83">
        <v>0.66569413799653476</v>
      </c>
      <c r="H20" s="51"/>
      <c r="I20" s="30">
        <v>9.0772013631585519E-2</v>
      </c>
      <c r="J20" s="51" t="s">
        <v>0</v>
      </c>
      <c r="K20" s="51"/>
      <c r="L20" s="59"/>
      <c r="N20" s="51"/>
      <c r="O20" s="51"/>
      <c r="P20" s="51"/>
      <c r="R20" s="33" t="s">
        <v>19</v>
      </c>
      <c r="S20" s="39">
        <v>0.15296773101210032</v>
      </c>
    </row>
    <row r="21" spans="3:24" ht="18.75" thickBot="1" x14ac:dyDescent="0.4">
      <c r="C21" s="40" t="s">
        <v>26</v>
      </c>
      <c r="D21" s="35"/>
      <c r="F21" s="58" t="s">
        <v>20</v>
      </c>
      <c r="G21" s="84">
        <v>0.10571401864634561</v>
      </c>
      <c r="H21" s="51"/>
      <c r="I21" s="31">
        <v>0.45763145495961044</v>
      </c>
      <c r="J21" s="60" t="s">
        <v>23</v>
      </c>
      <c r="K21" s="60"/>
      <c r="L21" s="61"/>
      <c r="N21" s="51" t="s">
        <v>43</v>
      </c>
      <c r="O21" s="51"/>
      <c r="P21" s="51"/>
      <c r="R21" s="86" t="s">
        <v>41</v>
      </c>
      <c r="S21" s="39">
        <v>-6.8813700094659203E-2</v>
      </c>
    </row>
    <row r="22" spans="3:24" ht="18.75" thickBot="1" x14ac:dyDescent="0.4">
      <c r="C22" s="33" t="s">
        <v>21</v>
      </c>
      <c r="D22" s="41">
        <v>0.33333332999999998</v>
      </c>
      <c r="F22" s="58" t="s">
        <v>19</v>
      </c>
      <c r="G22" s="85">
        <v>0.22859184337405716</v>
      </c>
      <c r="H22" s="51"/>
      <c r="I22" s="51"/>
      <c r="J22" s="51"/>
      <c r="K22" s="51"/>
      <c r="L22" s="51"/>
      <c r="N22" s="52" t="s">
        <v>21</v>
      </c>
      <c r="O22" s="29">
        <v>0.60828621321119247</v>
      </c>
      <c r="P22" s="51"/>
      <c r="R22" s="34" t="s">
        <v>25</v>
      </c>
      <c r="S22" s="36">
        <f>SUM(S18:S21)</f>
        <v>0.99999999997997269</v>
      </c>
    </row>
    <row r="23" spans="3:24" ht="18.75" thickBot="1" x14ac:dyDescent="0.4">
      <c r="C23" s="33" t="s">
        <v>20</v>
      </c>
      <c r="D23" s="42">
        <v>0.33333332999999998</v>
      </c>
      <c r="F23" s="62" t="s">
        <v>25</v>
      </c>
      <c r="G23" s="63">
        <v>1.0000000000215399</v>
      </c>
      <c r="H23" s="51"/>
      <c r="I23" s="51"/>
      <c r="J23" s="51"/>
      <c r="K23" s="51"/>
      <c r="L23" s="51"/>
      <c r="N23" s="52" t="s">
        <v>20</v>
      </c>
      <c r="O23" s="30">
        <v>0.30755975585133905</v>
      </c>
      <c r="P23" s="51"/>
    </row>
    <row r="24" spans="3:24" ht="18.75" thickBot="1" x14ac:dyDescent="0.4">
      <c r="C24" s="33" t="s">
        <v>19</v>
      </c>
      <c r="D24" s="43">
        <v>0.33333332999999998</v>
      </c>
      <c r="N24" s="52" t="s">
        <v>19</v>
      </c>
      <c r="O24" s="30">
        <v>0.15296773101210032</v>
      </c>
      <c r="P24" s="51"/>
    </row>
    <row r="25" spans="3:24" ht="18.75" thickBot="1" x14ac:dyDescent="0.4">
      <c r="C25" s="34" t="s">
        <v>25</v>
      </c>
      <c r="D25" s="36">
        <f>SUM(D22:D24)</f>
        <v>0.99999998999999995</v>
      </c>
      <c r="F25" s="51" t="s">
        <v>31</v>
      </c>
      <c r="G25" s="51" t="s">
        <v>36</v>
      </c>
      <c r="H25" s="51"/>
      <c r="I25" s="51"/>
      <c r="J25" s="51"/>
      <c r="K25" s="51"/>
      <c r="L25" s="51"/>
      <c r="N25" s="52" t="s">
        <v>28</v>
      </c>
      <c r="O25" s="88">
        <v>-6.8813700094659203E-2</v>
      </c>
      <c r="P25" s="51"/>
    </row>
    <row r="26" spans="3:24" ht="15.75" thickBot="1" x14ac:dyDescent="0.3">
      <c r="F26" s="51"/>
      <c r="G26" s="51" t="s">
        <v>37</v>
      </c>
      <c r="H26" s="51"/>
      <c r="I26" s="51"/>
      <c r="J26" s="67">
        <f>I20-D28</f>
        <v>3.4256133669045563E-3</v>
      </c>
      <c r="K26" s="51"/>
      <c r="L26" s="51"/>
    </row>
    <row r="27" spans="3:24" ht="15.75" thickBot="1" x14ac:dyDescent="0.3">
      <c r="D27" s="29" cm="1">
        <f t="array" ref="D27">SQRT(MMULT(MMULT(TRANSPOSE($D$22:$D$24), $G$8:$I$10), $D$22:$D$24))</f>
        <v>0.17659479307819528</v>
      </c>
      <c r="F27" s="51"/>
      <c r="G27" s="51" t="s">
        <v>35</v>
      </c>
      <c r="H27" s="52"/>
      <c r="I27" s="51"/>
      <c r="J27" s="68">
        <f>100000000*J26</f>
        <v>342561.33669045562</v>
      </c>
      <c r="K27" s="51"/>
      <c r="L27" s="51"/>
    </row>
    <row r="28" spans="3:24" x14ac:dyDescent="0.25">
      <c r="D28" s="30" cm="1">
        <f t="array" ref="D28">SUMPRODUCT($D$22:$D$24, TRANSPOSE($B$8:$D$8))</f>
        <v>8.7346400264680962E-2</v>
      </c>
      <c r="H28" s="69"/>
    </row>
    <row r="29" spans="3:24" ht="15.75" thickBot="1" x14ac:dyDescent="0.3">
      <c r="D29" s="31">
        <f>(D28-D12)/D27</f>
        <v>0.43798800019223882</v>
      </c>
    </row>
  </sheetData>
  <mergeCells count="5">
    <mergeCell ref="F6:I6"/>
    <mergeCell ref="B2:D2"/>
    <mergeCell ref="F2:H2"/>
    <mergeCell ref="B6:D6"/>
    <mergeCell ref="V10:Y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Data and Stats</vt:lpstr>
      <vt:lpstr>MV Optimization</vt:lpstr>
      <vt:lpstr>end_index</vt:lpstr>
      <vt:lpstr>num_of_periods</vt:lpstr>
      <vt:lpstr>risk_premium</vt:lpstr>
      <vt:lpstr>start_index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Hello There</cp:lastModifiedBy>
  <dcterms:created xsi:type="dcterms:W3CDTF">2013-07-19T15:25:07Z</dcterms:created>
  <dcterms:modified xsi:type="dcterms:W3CDTF">2026-02-01T17:13:32Z</dcterms:modified>
</cp:coreProperties>
</file>